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a97c5e00590afd79/Desktop/"/>
    </mc:Choice>
  </mc:AlternateContent>
  <xr:revisionPtr revIDLastSave="4" documentId="14_{27A78911-84DE-46C0-B6A5-1CE2D90FDA8B}" xr6:coauthVersionLast="47" xr6:coauthVersionMax="47" xr10:uidLastSave="{4B07D71D-4BC8-4DAE-87DF-800A7BCED008}"/>
  <bookViews>
    <workbookView xWindow="-98" yWindow="-98" windowWidth="21795" windowHeight="12975" firstSheet="5" activeTab="7" xr2:uid="{08060CCF-17FE-4602-80A9-E7A642095734}"/>
  </bookViews>
  <sheets>
    <sheet name="Cover" sheetId="1" r:id="rId1"/>
    <sheet name="Income Statement" sheetId="2" r:id="rId2"/>
    <sheet name="Balance Sheet" sheetId="3" r:id="rId3"/>
    <sheet name="Cash Flow Statement" sheetId="4" r:id="rId4"/>
    <sheet name="Supporting Calculations" sheetId="9" r:id="rId5"/>
    <sheet name="Ratio Analysis" sheetId="5" r:id="rId6"/>
    <sheet name="Financial Charts" sheetId="6" r:id="rId7"/>
    <sheet name="Dashboard" sheetId="10" r:id="rId8"/>
    <sheet name="Valuation" sheetId="11" r:id="rId9"/>
    <sheet name="Key Insights" sheetId="7" r:id="rId10"/>
    <sheet name="Sources" sheetId="8"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42" i="11" l="1"/>
  <c r="D41" i="11"/>
  <c r="D35" i="11"/>
  <c r="D34" i="11"/>
  <c r="D32" i="11"/>
  <c r="D33" i="11"/>
  <c r="D36" i="11" s="1"/>
  <c r="B24" i="11"/>
  <c r="C24" i="11" s="1"/>
  <c r="B25" i="11"/>
  <c r="C25" i="11" s="1"/>
  <c r="B26" i="11"/>
  <c r="C26" i="11" s="1"/>
  <c r="B27" i="11"/>
  <c r="C27" i="11" s="1"/>
  <c r="B23" i="11"/>
  <c r="C23" i="11" s="1"/>
  <c r="E7" i="11"/>
  <c r="E8" i="11"/>
  <c r="E9" i="11"/>
  <c r="E6" i="11"/>
  <c r="B59" i="10"/>
  <c r="C79" i="10"/>
  <c r="C78" i="10"/>
  <c r="B58" i="10"/>
  <c r="C58" i="10"/>
  <c r="E58" i="10" s="1"/>
  <c r="D58" i="10"/>
  <c r="F58" i="10" s="1"/>
  <c r="C59" i="10"/>
  <c r="E59" i="10" s="1"/>
  <c r="D59" i="10"/>
  <c r="F59" i="10" s="1"/>
  <c r="F57" i="10"/>
  <c r="E57" i="10"/>
  <c r="F56" i="10"/>
  <c r="E56" i="10"/>
  <c r="F55" i="10"/>
  <c r="E55" i="10"/>
  <c r="F54" i="10"/>
  <c r="E54" i="10"/>
  <c r="C15" i="5"/>
  <c r="E28" i="5"/>
  <c r="D28" i="5"/>
  <c r="C28" i="5"/>
  <c r="E27" i="5"/>
  <c r="D27" i="5"/>
  <c r="C27" i="5"/>
  <c r="D24" i="5"/>
  <c r="C24" i="5"/>
  <c r="D23" i="5"/>
  <c r="C23" i="5"/>
  <c r="E20" i="5"/>
  <c r="D20" i="5"/>
  <c r="C20" i="5"/>
  <c r="E19" i="5"/>
  <c r="D19" i="5"/>
  <c r="C19" i="5"/>
  <c r="E18" i="5"/>
  <c r="D18" i="5"/>
  <c r="C18" i="5"/>
  <c r="E15" i="5"/>
  <c r="D15" i="5"/>
  <c r="D12" i="5"/>
  <c r="C12" i="5"/>
  <c r="D11" i="5"/>
  <c r="C11" i="5"/>
  <c r="E10" i="5"/>
  <c r="D10" i="5"/>
  <c r="C10" i="5"/>
  <c r="E9" i="5"/>
  <c r="D9" i="5"/>
  <c r="C9" i="5"/>
  <c r="D8" i="5"/>
  <c r="C8" i="5"/>
  <c r="D32" i="9"/>
  <c r="C32" i="9"/>
  <c r="B32" i="9"/>
  <c r="D31" i="9"/>
  <c r="C31" i="9"/>
  <c r="B31" i="9"/>
  <c r="D30" i="9"/>
  <c r="C30" i="9"/>
  <c r="B30" i="9"/>
  <c r="D29" i="9"/>
  <c r="C29" i="9"/>
  <c r="B29" i="9"/>
  <c r="D28" i="9"/>
  <c r="C28" i="9"/>
  <c r="B28" i="9"/>
  <c r="D27" i="9"/>
  <c r="C27" i="9"/>
  <c r="B27" i="9"/>
  <c r="D19" i="9"/>
  <c r="C19" i="9"/>
  <c r="B19" i="9"/>
  <c r="D23" i="9"/>
  <c r="C23" i="9"/>
  <c r="B23" i="9"/>
  <c r="D22" i="9"/>
  <c r="C22" i="9"/>
  <c r="B22" i="9"/>
  <c r="D21" i="9"/>
  <c r="C21" i="9"/>
  <c r="B21" i="9"/>
  <c r="D20" i="9"/>
  <c r="C20" i="9"/>
  <c r="B20" i="9"/>
  <c r="D18" i="9"/>
  <c r="C18" i="9"/>
  <c r="B18" i="9"/>
  <c r="D17" i="9"/>
  <c r="C17" i="9"/>
  <c r="B17" i="9"/>
  <c r="D13" i="9"/>
  <c r="C13" i="9"/>
  <c r="B13" i="9"/>
  <c r="D12" i="9"/>
  <c r="C12" i="9"/>
  <c r="B12" i="9"/>
  <c r="D10" i="9"/>
  <c r="C10" i="9"/>
  <c r="B10" i="9"/>
  <c r="D9" i="9"/>
  <c r="C9" i="9"/>
  <c r="B9" i="9"/>
  <c r="E14" i="4"/>
  <c r="F10" i="4"/>
  <c r="F11" i="4"/>
  <c r="F15" i="4"/>
  <c r="F16" i="4"/>
  <c r="F18" i="4"/>
  <c r="F19" i="4"/>
  <c r="F20" i="4"/>
  <c r="F21" i="4"/>
  <c r="F22" i="4"/>
  <c r="F23" i="4"/>
  <c r="F24" i="4"/>
  <c r="F27" i="4"/>
  <c r="F28" i="4"/>
  <c r="F29" i="4"/>
  <c r="F30" i="4"/>
  <c r="F35" i="4"/>
  <c r="F36" i="4"/>
  <c r="F9" i="4"/>
  <c r="E10" i="4"/>
  <c r="E11" i="4"/>
  <c r="E15" i="4"/>
  <c r="E16" i="4"/>
  <c r="E18" i="4"/>
  <c r="E19" i="4"/>
  <c r="E20" i="4"/>
  <c r="E21" i="4"/>
  <c r="E22" i="4"/>
  <c r="E23" i="4"/>
  <c r="E24" i="4"/>
  <c r="E26" i="4"/>
  <c r="E27" i="4"/>
  <c r="E28" i="4"/>
  <c r="E29" i="4"/>
  <c r="E30" i="4"/>
  <c r="E35" i="4"/>
  <c r="E36" i="4"/>
  <c r="E9" i="4"/>
  <c r="C34" i="3"/>
  <c r="C31" i="3"/>
  <c r="C15" i="3"/>
  <c r="C27" i="3"/>
  <c r="F10" i="3"/>
  <c r="F11" i="3"/>
  <c r="F12" i="3"/>
  <c r="F13" i="3"/>
  <c r="F15" i="3"/>
  <c r="F19" i="3"/>
  <c r="F20" i="3"/>
  <c r="F21" i="3"/>
  <c r="F22" i="3"/>
  <c r="F24" i="3"/>
  <c r="F25" i="3"/>
  <c r="F29" i="3"/>
  <c r="F9" i="3"/>
  <c r="E29" i="3"/>
  <c r="E25" i="3"/>
  <c r="E24" i="3"/>
  <c r="E23" i="3"/>
  <c r="E22" i="3"/>
  <c r="E21" i="3"/>
  <c r="E20" i="3"/>
  <c r="E19" i="3"/>
  <c r="E13" i="3"/>
  <c r="E12" i="3"/>
  <c r="E11" i="3"/>
  <c r="E10" i="3"/>
  <c r="E9" i="3"/>
  <c r="D34" i="3"/>
  <c r="D31" i="3"/>
  <c r="D27" i="3"/>
  <c r="D17" i="3"/>
  <c r="D15" i="3"/>
  <c r="B34" i="3"/>
  <c r="B31" i="3"/>
  <c r="B27" i="3"/>
  <c r="B15" i="3"/>
  <c r="B17" i="3" s="1"/>
  <c r="F31" i="2"/>
  <c r="F29" i="2"/>
  <c r="F26" i="2"/>
  <c r="F25" i="2"/>
  <c r="F24" i="2"/>
  <c r="F21" i="2"/>
  <c r="F20" i="2"/>
  <c r="F18" i="2"/>
  <c r="F17" i="2"/>
  <c r="F16" i="2"/>
  <c r="F15" i="2"/>
  <c r="F14" i="2"/>
  <c r="F12" i="2"/>
  <c r="F11" i="2"/>
  <c r="F10" i="2"/>
  <c r="F9" i="2"/>
  <c r="F8" i="2"/>
  <c r="E31" i="2"/>
  <c r="E29" i="2"/>
  <c r="E26" i="2"/>
  <c r="E25" i="2"/>
  <c r="E24" i="2"/>
  <c r="E21" i="2"/>
  <c r="E18" i="2"/>
  <c r="E17" i="2"/>
  <c r="E16" i="2"/>
  <c r="E15" i="2"/>
  <c r="E14" i="2"/>
  <c r="D27" i="2"/>
  <c r="C27" i="2"/>
  <c r="F27" i="2" s="1"/>
  <c r="B27" i="2"/>
  <c r="D22" i="2"/>
  <c r="C22" i="2"/>
  <c r="F22" i="2" s="1"/>
  <c r="B22" i="2"/>
  <c r="E22" i="2" s="1"/>
  <c r="E12" i="2"/>
  <c r="E11" i="2"/>
  <c r="E10" i="2"/>
  <c r="E8" i="2"/>
  <c r="E9" i="2"/>
  <c r="D13" i="2"/>
  <c r="C13" i="2"/>
  <c r="F13" i="2" s="1"/>
  <c r="B13" i="2"/>
  <c r="E10" i="11" l="1"/>
  <c r="B16" i="11" s="1"/>
  <c r="B18" i="11" s="1"/>
  <c r="D11" i="9"/>
  <c r="C11" i="9"/>
  <c r="B11" i="9"/>
  <c r="C17" i="3"/>
  <c r="E15" i="3"/>
  <c r="F27" i="3"/>
  <c r="E27" i="3"/>
  <c r="E27" i="2"/>
  <c r="B23" i="2"/>
  <c r="D23" i="2"/>
  <c r="D28" i="2" s="1"/>
  <c r="D30" i="2" s="1"/>
  <c r="C23" i="2"/>
  <c r="E23" i="2" s="1"/>
  <c r="B28" i="2"/>
  <c r="E13" i="2"/>
  <c r="F17" i="3" l="1"/>
  <c r="E17" i="3"/>
  <c r="F23" i="2"/>
  <c r="C28" i="2"/>
  <c r="E28" i="2" s="1"/>
  <c r="B30" i="2"/>
  <c r="F28" i="2" l="1"/>
  <c r="C30" i="2"/>
  <c r="E30" i="2" l="1"/>
  <c r="F30" i="2"/>
  <c r="F14" i="3"/>
  <c r="F16" i="3"/>
  <c r="F26" i="3"/>
  <c r="F30" i="3"/>
  <c r="F33" i="3"/>
  <c r="E26" i="3"/>
  <c r="E14" i="3"/>
  <c r="E33" i="3"/>
  <c r="E30" i="3"/>
  <c r="E16" i="3"/>
  <c r="F34" i="3"/>
  <c r="E31" i="3"/>
  <c r="F31" i="3"/>
  <c r="E34" i="3"/>
</calcChain>
</file>

<file path=xl/sharedStrings.xml><?xml version="1.0" encoding="utf-8"?>
<sst xmlns="http://schemas.openxmlformats.org/spreadsheetml/2006/main" count="481" uniqueCount="344">
  <si>
    <t>Company: BlackRock, Inc. (NYSE: BLK)</t>
  </si>
  <si>
    <t>Purpose: Analyze BlackRock’s financial performance, profitability, liquidity, leverage, efficiency, and investment attractiveness using public financial statements.</t>
  </si>
  <si>
    <t>BlackRock Investor Relations</t>
  </si>
  <si>
    <t>BlackRock, Inc. (NYSE: BLK)</t>
  </si>
  <si>
    <t>Consolidated Statements of Income Analysis</t>
  </si>
  <si>
    <t>Fiscal Years 2025, 2024, and 2023</t>
  </si>
  <si>
    <t>(All amounts in millions of U.S. dollars, except per share data)</t>
  </si>
  <si>
    <t>Line Item</t>
  </si>
  <si>
    <t>Investment advisory, administration fees and securities lending revenue</t>
  </si>
  <si>
    <t>Investment advisory performance fees</t>
  </si>
  <si>
    <t>Technology services revenue</t>
  </si>
  <si>
    <t>Distribution fees</t>
  </si>
  <si>
    <t>Advisory and other revenue</t>
  </si>
  <si>
    <t>Total Revenue</t>
  </si>
  <si>
    <t>Employee compensation and benefits</t>
  </si>
  <si>
    <t>Distribution and servicing costs</t>
  </si>
  <si>
    <t>Direct fund expense</t>
  </si>
  <si>
    <t>General and administration</t>
  </si>
  <si>
    <t>Total Expense</t>
  </si>
  <si>
    <t>Operating Income</t>
  </si>
  <si>
    <t>Income Before Income Taxes</t>
  </si>
  <si>
    <t>Income tax expense</t>
  </si>
  <si>
    <t>Net Income</t>
  </si>
  <si>
    <t>Diluted EPS</t>
  </si>
  <si>
    <t>Analysis</t>
  </si>
  <si>
    <t>Sub-advisory and other</t>
  </si>
  <si>
    <t>Change in fair value of contingent consideration</t>
  </si>
  <si>
    <t>Restructuring charge</t>
  </si>
  <si>
    <t>Amortization and impairment of intangible assets</t>
  </si>
  <si>
    <t>Net gain (loss) on investments</t>
  </si>
  <si>
    <t>Interest and dividend income</t>
  </si>
  <si>
    <t>Interest expense</t>
  </si>
  <si>
    <t>Total nonoperating income (expense)</t>
  </si>
  <si>
    <t>N/M</t>
  </si>
  <si>
    <t>FY25 vs FY24 (%)</t>
  </si>
  <si>
    <t>FY24 vs FY23 (%)</t>
  </si>
  <si>
    <t>Performance fees increased significantly as investment products outperformed benchmarks and generated higher incentive-based fees.</t>
  </si>
  <si>
    <t>Growth was driven by advisory engagements and additional client service offerings.</t>
  </si>
  <si>
    <t>Expense reflects remeasurement of acquisition-related contingent consideration and is not directly related to core operations.</t>
  </si>
  <si>
    <t>Minimal restructuring expense indicates limited organizational restructuring during the fiscal year.</t>
  </si>
  <si>
    <t>Higher amortization primarily reflects acquired intangible assets associated with strategic acquisitions.</t>
  </si>
  <si>
    <t>Operating income declined modestly as expense growth outpaced revenue growth during the period.</t>
  </si>
  <si>
    <t>Investment gains improved due to favorable market conditions and stronger portfolio performance.</t>
  </si>
  <si>
    <t>Lower investment income reflects changes in portfolio composition and market interest rate dynamics.</t>
  </si>
  <si>
    <t>Higher borrowing costs and financing activities contributed to the increase in interest expense.</t>
  </si>
  <si>
    <t>Lower non-operating income reflects weaker investment returns and higher financing costs.</t>
  </si>
  <si>
    <t>Pre-tax income declined modestly due to lower operating profitability and reduced non-operating income.</t>
  </si>
  <si>
    <t>Lower tax expense was primarily driven by reduced pre-tax earnings and changes in the effective tax rate.</t>
  </si>
  <si>
    <t>Net income declined despite strong revenue growth as higher operating expenses reduced overall profitability.</t>
  </si>
  <si>
    <t>Earnings per share declined as lower net income offset the impact of share management activities.</t>
  </si>
  <si>
    <t>Higher fund activity and increased investment operations contributed to the rise in direct fund expenses.</t>
  </si>
  <si>
    <t>Strong revenue growth was driven by higher assets under management (AUM), favorable market performance, and sustained net client inflows.</t>
  </si>
  <si>
    <t>Total revenue increased 18.7% year-over-year, supported by higher assets under management, strong market appreciation, and positive net client inflows. Growth was broad-based across advisory, technology, and performance fee businesses.</t>
  </si>
  <si>
    <t>Revenue growth was supported by improved adoption of the Aladdin platform and expansion of technology solutions among institutional clients.</t>
  </si>
  <si>
    <t>Stable growth was supported by strengthened distribution of investment products and continued client activity across global markets.</t>
  </si>
  <si>
    <t>Compensation expensewas supported by  higher incentive compensation, workforce expansion, and continued investment in talent.</t>
  </si>
  <si>
    <t>Costs benefited from higher distribution activity while remaining proportionate to revenue growth.</t>
  </si>
  <si>
    <t>Growth reflects expanded utilization of third-party investment management and related services.</t>
  </si>
  <si>
    <t>Administrative expenses improved as BlackRock continued investing in technology, infrastructure, and global operations.</t>
  </si>
  <si>
    <t>Total expenses was driven primarily due to higher employee compensation, technology investments, and acquisition-related expenses.</t>
  </si>
  <si>
    <t>ASSETS</t>
  </si>
  <si>
    <t>Investments</t>
  </si>
  <si>
    <t>Other assets</t>
  </si>
  <si>
    <t>Total Assets</t>
  </si>
  <si>
    <t>LIABILITIES</t>
  </si>
  <si>
    <t>Other liabilities</t>
  </si>
  <si>
    <t>Total Liabilities</t>
  </si>
  <si>
    <t>Total Equity</t>
  </si>
  <si>
    <t>FY 2025</t>
  </si>
  <si>
    <t>FY 2024</t>
  </si>
  <si>
    <t>FY 2023</t>
  </si>
  <si>
    <t>Accounts Receivables</t>
  </si>
  <si>
    <t>Operating lease right-of-use assets</t>
  </si>
  <si>
    <t>Subtotal</t>
  </si>
  <si>
    <t>Accrued compensation and benefits</t>
  </si>
  <si>
    <t>Accounts payable and accrued liabilities</t>
  </si>
  <si>
    <t>Borrowings</t>
  </si>
  <si>
    <t>Separate account liabilities and collateral liabilities under securities lending agreements</t>
  </si>
  <si>
    <t>Separate account assets and collateral liabilities under securities lending agreements</t>
  </si>
  <si>
    <t>Contingent consideration liabilities</t>
  </si>
  <si>
    <t>Deferred income tax liabilities</t>
  </si>
  <si>
    <t>Operating lease liabilities</t>
  </si>
  <si>
    <t>Total BlackRock, Inc. stockholders’ equity</t>
  </si>
  <si>
    <t>EQUITY</t>
  </si>
  <si>
    <t>TEMPORARY EQUITY</t>
  </si>
  <si>
    <t>Redeemable Noncontrolling Interests (NCI – CIPs)</t>
  </si>
  <si>
    <t>Noncontrolling Interests</t>
  </si>
  <si>
    <t xml:space="preserve">              Consolidated Balance Sheet Analysis</t>
  </si>
  <si>
    <t xml:space="preserve">           As of December 31, 2025, 2024, and 2023</t>
  </si>
  <si>
    <t>Goodwill and Intangible Assets, Net</t>
  </si>
  <si>
    <t>Total Liabilities, Temporary Equity &amp; Equity</t>
  </si>
  <si>
    <t>Cash and cash equivalents declined 10.1% year-over-year, primarily reflecting cash deployed toward acquisitions, investments, and capital allocation activities despite continued strong operating cash generation.</t>
  </si>
  <si>
    <t>Accounts receivable increased due to higher advisory, technology, and investment-related revenues, resulting in greater outstanding receivables at year-end.</t>
  </si>
  <si>
    <t>Investments increased significantly, driven by portfolio appreciation, strategic investments, and assets acquired through business acquisitions.</t>
  </si>
  <si>
    <t>Separate account assets increased as a result of higher client assets under management and increased securities lending activity.</t>
  </si>
  <si>
    <t>Operating lease right-of-use assets increased due to new lease agreements and continued expansion of office facilities.</t>
  </si>
  <si>
    <t>Other assets increased primarily because of acquisition-related assets, higher deferred costs, and other investment-related balances.</t>
  </si>
  <si>
    <t>The increase in subtotal assets reflects broad-based growth across investment portfolios, client-related assets, and acquisition-related balances.</t>
  </si>
  <si>
    <t>Goodwill and intangible assets increased substantially following the acquisition of HPS Investment Partners, resulting in the recognition of acquired goodwill and identifiable intangible assets.</t>
  </si>
  <si>
    <t>Total assets increased 22.6% year-over-year, primarily driven by acquisition-related goodwill, higher investments, and growth in separate account assets.</t>
  </si>
  <si>
    <t>Accrued compensation and benefits increased due to higher employee incentive compensation, workforce expansion, and continued investment in talent.</t>
  </si>
  <si>
    <t>Accounts payable and accrued liabilities increased in line with higher operating activity and acquisition-related obligations.</t>
  </si>
  <si>
    <t>Borrowings increased modestly, reflecting financing activities related to acquisitions and general corporate funding requirements.</t>
  </si>
  <si>
    <t>Separate account liabilities increased alongside separate account assets, reflecting higher client asset balances and securities lending activity.</t>
  </si>
  <si>
    <t>Contingent consideration liabilities increased significantly following acquisition-related earn-out obligations associated with HPS Investment Partners.</t>
  </si>
  <si>
    <t>Deferred income tax liabilities increased primarily due to acquisition-related intangible assets and temporary tax differences.</t>
  </si>
  <si>
    <t>Operating lease liabilities increased due to new lease commitments and lease renewals during the fiscal year.</t>
  </si>
  <si>
    <t>Other liabilities increased primarily because of acquisition-related obligations, deferred compensation, and other operating liabilities.</t>
  </si>
  <si>
    <t>Total liabilities increased 21.5% year-over-year, reflecting acquisition-related obligations, higher compensation accruals, and increased operating liabilities.</t>
  </si>
  <si>
    <t>Stockholders' equity increased due to higher retained earnings generated during the fiscal year despite shareholder capital distributions.</t>
  </si>
  <si>
    <t>Noncontrolling interests increased as a result of higher ownership interests held by external investors in consolidated investment products.</t>
  </si>
  <si>
    <t>Total equity increased 17.7% year-over-year, supported by retained earnings growth and higher noncontrolling interests.</t>
  </si>
  <si>
    <t>Redeemable noncontrolling interests increased significantly following the HPS acquisition and changes in ownership interests within consolidated investment products.</t>
  </si>
  <si>
    <t>The combined balance increased 22.6% year-over-year, reflecting overall balance sheet expansion driven by strategic acquisitions, higher client assets, and continued business growth.</t>
  </si>
  <si>
    <r>
      <rPr>
        <b/>
        <i/>
        <sz val="11"/>
        <color theme="2" tint="-0.89999084444715716"/>
        <rFont val="Arial Nova"/>
        <family val="2"/>
      </rPr>
      <t>Source</t>
    </r>
    <r>
      <rPr>
        <i/>
        <sz val="11"/>
        <color theme="2" tint="-0.89999084444715716"/>
        <rFont val="Arial Nova"/>
        <family val="2"/>
      </rPr>
      <t>: BlackRock FY2025 Annual Report (Form 10-K), U.S. SEC.</t>
    </r>
  </si>
  <si>
    <r>
      <rPr>
        <b/>
        <i/>
        <sz val="11"/>
        <color theme="3" tint="9.9978637043366805E-2"/>
        <rFont val="Arial Nova"/>
        <family val="2"/>
      </rPr>
      <t>Source:</t>
    </r>
    <r>
      <rPr>
        <i/>
        <sz val="11"/>
        <color theme="1"/>
        <rFont val="Arial Nova"/>
        <family val="2"/>
      </rPr>
      <t xml:space="preserve"> BlackRock, Inc. FY2025 Annual Report (Form 10-K), Consolidated Balance Sheets, U.S. Securities and Exchange Commission (SEC).</t>
    </r>
  </si>
  <si>
    <t>Consolidated Statements of Cash Flows Analysis</t>
  </si>
  <si>
    <t>(All amounts in millions of U.S. dollars)</t>
  </si>
  <si>
    <t>OPERATING ACTIVITIES</t>
  </si>
  <si>
    <t>Net income</t>
  </si>
  <si>
    <t>Depreciation and Amortization</t>
  </si>
  <si>
    <t>Stock-based compensation</t>
  </si>
  <si>
    <t>Deferred income tax expense (benefit)</t>
  </si>
  <si>
    <t>Other investment gains</t>
  </si>
  <si>
    <t>Net purchases/proceeds within CIPs</t>
  </si>
  <si>
    <t>Net cash provided by operating activities</t>
  </si>
  <si>
    <t>INVESTING ACTIVITIES</t>
  </si>
  <si>
    <t>Purchases of investments</t>
  </si>
  <si>
    <t>Proceeds from sales/maturities of investments</t>
  </si>
  <si>
    <t>Distributions of capital from equity method investees</t>
  </si>
  <si>
    <t>Net consolidations (deconsolidations) of sponsored investment funds</t>
  </si>
  <si>
    <t>Acquisitions, net of cash acquired</t>
  </si>
  <si>
    <t>FINANCING ACTIVITIES</t>
  </si>
  <si>
    <t>Repayments of long-term borrowings</t>
  </si>
  <si>
    <t>Proceeds from long-term borrowings</t>
  </si>
  <si>
    <t>Dividends/Subco distributions paid</t>
  </si>
  <si>
    <t>Shares/Subco Units repurchased</t>
  </si>
  <si>
    <t>Net subscriptions received/(redemptions/distributions paid) from noncontrolling interest holders</t>
  </si>
  <si>
    <t>CASH RECONCILIATION</t>
  </si>
  <si>
    <t>Cash, cash equivalents and restricted cash, beginning of year</t>
  </si>
  <si>
    <t>Cash, cash equivalents and restricted cash, end of year</t>
  </si>
  <si>
    <t>Net increase/(decrease) in cash, cash equivalents and restricted cash</t>
  </si>
  <si>
    <t>Effect of exchange rate changes on cash, cash equivalents and restricted cash</t>
  </si>
  <si>
    <t>Net cash used in investing activities</t>
  </si>
  <si>
    <t>Net cash used in financing activities</t>
  </si>
  <si>
    <t>Capital expenditures</t>
  </si>
  <si>
    <t>Net income declined 8.8% year-over-year, reflecting higher operating expenses and acquisition-related costs despite continued revenue growth across BlackRock's core businesses.</t>
  </si>
  <si>
    <t>Depreciation and amortization more than doubled following the acquisition of HPS Investment Partners and the recognition of additional amortizable intangible assets.</t>
  </si>
  <si>
    <t>Stock-based compensation increased significantly as BlackRock continued investing in employee retention, performance incentives, and workforce expansion.</t>
  </si>
  <si>
    <t>Deferred tax benefit increased due to changes in temporary tax differences, acquisition-related tax adjustments, and the recognition of deferred tax assets and liabilities.</t>
  </si>
  <si>
    <t>The increase reflects the remeasurement of contingent consideration liabilities associated with acquisition-related earn-out obligations, primarily related to the HPS acquisition.</t>
  </si>
  <si>
    <t>Net cash outflows increased as consolidated investment products recorded higher investment purchases and portfolio activity during the fiscal year.</t>
  </si>
  <si>
    <t>Investment purchases increased as BlackRock continued allocating capital into strategic investments and investment portfolios.</t>
  </si>
  <si>
    <t>Cash proceeds from investment sales and maturities declined, reflecting fewer asset disposals during the fiscal year.</t>
  </si>
  <si>
    <t>Cash flows from sponsored investment funds reflect ongoing portfolio restructuring and changes in consolidated investment vehicles.</t>
  </si>
  <si>
    <t>Higher capital distributions from equity method investments contributed positively to investing cash flows.</t>
  </si>
  <si>
    <t>Investing cash outflows increased significantly due to the acquisition of HPS Investment Partners, representing BlackRock's largest strategic investment during the year.</t>
  </si>
  <si>
    <t>Capital expenditures increased to support technology infrastructure, office facilities, and long-term business expansion initiatives.</t>
  </si>
  <si>
    <t>Investing cash outflows increased substantially, primarily driven by acquisition-related payments and continued investment activity.</t>
  </si>
  <si>
    <t>BlackRock continued repaying outstanding debt as part of its long-term capital management strategy.</t>
  </si>
  <si>
    <t>Borrowing activity declined significantly compared with the prior year, indicating reduced reliance on external financing after acquisition funding.</t>
  </si>
  <si>
    <t>Dividend payments increased as BlackRock maintained its commitment to returning capital to shareholders.</t>
  </si>
  <si>
    <t>Share repurchases remained relatively stable, demonstrating continued capital return through buyback programs.</t>
  </si>
  <si>
    <t>Higher net subscriptions reflected increased investor participation in consolidated sponsored investment products.</t>
  </si>
  <si>
    <t>Financing activities shifted to a net cash outflow as lower borrowing activity and continued shareholder distributions exceeded financing inflows.</t>
  </si>
  <si>
    <t>Exchange rate movements had a favorable impact on cash balances during FY2025 compared with the unfavorable impact recorded in FY2024.</t>
  </si>
  <si>
    <t>Beginning cash balance increased from the prior year, providing strong liquidity entering FY2025.</t>
  </si>
  <si>
    <t>Ending cash balances remained strong despite significant acquisition-related cash outflows, reflecting BlackRock's solid liquidity position.</t>
  </si>
  <si>
    <t>Operating cash flow decreased 20.8% year-over-year despite strong profitability, primarily reflecting higher working capital requirements and acquisition-related cash adjustments.</t>
  </si>
  <si>
    <r>
      <rPr>
        <b/>
        <sz val="12"/>
        <color theme="3" tint="9.9978637043366805E-2"/>
        <rFont val="Arial Nova"/>
        <family val="2"/>
      </rPr>
      <t>Executive Summary:</t>
    </r>
    <r>
      <rPr>
        <sz val="11"/>
        <color theme="1"/>
        <rFont val="Aptos Narrow"/>
        <family val="2"/>
        <scheme val="minor"/>
      </rPr>
      <t xml:space="preserve">
</t>
    </r>
    <r>
      <rPr>
        <sz val="11"/>
        <color theme="1"/>
        <rFont val="Arial Nova"/>
        <family val="2"/>
      </rPr>
      <t>• Total assets increased 22.6% YoY, primarily driven by the acquisition of HPS Investment  Partners, higher investments, and growth in separate account assets.
• Goodwill and intangible assets rose significantly following acquisition-related asset recognition.
• Total liabilities increased 21.5% due to acquisition-related obligations, higher compensation accruals, and increased operating liabilities.
• Stockholders' equity grew 17.7%, supported by retained earnings and continued profitability.
• The balance sheet reflects BlackRock's strategic expansion while maintaining a strong capital position.</t>
    </r>
  </si>
  <si>
    <r>
      <rPr>
        <b/>
        <sz val="12"/>
        <color theme="3" tint="9.9978637043366805E-2"/>
        <rFont val="Arial Nova"/>
        <family val="2"/>
      </rPr>
      <t>Overall Assessment</t>
    </r>
    <r>
      <rPr>
        <sz val="12"/>
        <color theme="1"/>
        <rFont val="Arial Nova"/>
        <family val="2"/>
      </rPr>
      <t xml:space="preserve">
</t>
    </r>
    <r>
      <rPr>
        <sz val="11"/>
        <color theme="1"/>
        <rFont val="Arial Nova"/>
        <family val="2"/>
      </rPr>
      <t>BlackRock's balance sheet strengthened materially in FY2025, driven primarily by the HPS Investment Partners acquisition, higher investments, and continued growth in client-related assets. While liabilities increased alongside the company's strategic expansion, equity continued to grow through retained earnings, demonstrating strong financial flexibility and reinforcing BlackRock's long-term growth strategy.</t>
    </r>
  </si>
  <si>
    <r>
      <rPr>
        <b/>
        <sz val="12"/>
        <color theme="3" tint="9.9978637043366805E-2"/>
        <rFont val="Arial Nova"/>
        <family val="2"/>
      </rPr>
      <t>Executive Summary:</t>
    </r>
    <r>
      <rPr>
        <b/>
        <sz val="11"/>
        <color theme="1"/>
        <rFont val="Arial Nova"/>
        <family val="2"/>
      </rPr>
      <t xml:space="preserve">
</t>
    </r>
    <r>
      <rPr>
        <sz val="11"/>
        <color theme="1"/>
        <rFont val="Arial Nova"/>
        <family val="2"/>
      </rPr>
      <t xml:space="preserve"> • Revenue increased 18.7% YoY, driven by higher AUM and positive  net client inflows.
 • Technology services continued to be a key growth driver, supported by continued Aladdin platform adoption.
 • Operating income declined 7.0% as expense growth outpaced revenue growth.
 • Net income decreased 8.8% despite strong top-line performance.
 • Continued investment in technology, infrastructure, and talent supports BlackRock's long-term growth strategy.</t>
    </r>
  </si>
  <si>
    <r>
      <rPr>
        <b/>
        <sz val="12"/>
        <color theme="3" tint="9.9978637043366805E-2"/>
        <rFont val="Arial Nova"/>
        <family val="2"/>
      </rPr>
      <t>Overall Assessment:</t>
    </r>
    <r>
      <rPr>
        <sz val="11"/>
        <color theme="1"/>
        <rFont val="Arial Nova"/>
        <family val="2"/>
      </rPr>
      <t xml:space="preserve">
BlackRock demonstrated strong top-line momentum in FY2025, driven by higher assets under management, robust client inflows, and continued growth in technology services. While higher operating expenses moderated profitability, the company's ongoing investments in technology, infrastructure, and strategic acquisitions strengthen its long-term competitive position.</t>
    </r>
  </si>
  <si>
    <r>
      <rPr>
        <b/>
        <i/>
        <sz val="12"/>
        <color theme="3" tint="9.9978637043366805E-2"/>
        <rFont val="Arial Nova"/>
        <family val="2"/>
      </rPr>
      <t xml:space="preserve">Source: </t>
    </r>
    <r>
      <rPr>
        <i/>
        <sz val="11"/>
        <color theme="1"/>
        <rFont val="Arial Nova"/>
        <family val="2"/>
      </rPr>
      <t>BlackRock, Inc. Annual Reports (Forms 10-K), Fiscal Years 2025, 2024, and 2023. Consolidated Statements of Cash Flows. U.S. Securities and Exchange Commission (SEC).</t>
    </r>
  </si>
  <si>
    <r>
      <rPr>
        <b/>
        <sz val="12"/>
        <color theme="3" tint="9.9978637043366805E-2"/>
        <rFont val="Arial Nova"/>
        <family val="2"/>
      </rPr>
      <t>Executive Summary:</t>
    </r>
    <r>
      <rPr>
        <sz val="11"/>
        <color theme="1"/>
        <rFont val="Arial Nova"/>
        <family val="2"/>
      </rPr>
      <t xml:space="preserve">
• Operating cash flow remained healthy at $3.9 billion, although it declined due to acquisition-related adjustments and working capital movements.
• Investing cash outflows increased 47.1% YoY, primarily driven by the acquisition of HPS Investment Partners and continued investment purchases.
• Financing activities shifted to a net cash outflow as BlackRock reduced borrowing while maintaining dividends and share repurchases.
• Cash balances declined 10.1% year-over-year, reflecting disciplined deployment of capital toward strategic investments.
• Overall, the cash flow statement demonstrates BlackRock's focus on long-term growth through acquisitions while maintaining strong operating cash generation and shareholder returns.</t>
    </r>
  </si>
  <si>
    <r>
      <rPr>
        <b/>
        <sz val="12"/>
        <color theme="3" tint="9.9978637043366805E-2"/>
        <rFont val="Arial Nova"/>
        <family val="2"/>
      </rPr>
      <t>Overall Assessment:</t>
    </r>
    <r>
      <rPr>
        <sz val="11"/>
        <color theme="1"/>
        <rFont val="Arial Nova"/>
        <family val="2"/>
      </rPr>
      <t xml:space="preserve">
BlackRock generated strong operating cash flows while deploying significant capital toward strategic acquisitions and long-term investments during FY2025. Although cash balances declined because of increased investing activity, the company maintained solid liquidity and continued returning capital to shareholders through dividends and share repurchases. Overall, the cash flow profile reflects disciplined capital allocation, financial flexibility, and a long-term growth strategy supported by resilient operating performance.</t>
    </r>
  </si>
  <si>
    <t>Other investment gains primarily reflect changes in the fair value of BlackRock's investment portfolio and realized gains or losses on strategic investments.</t>
  </si>
  <si>
    <t>Cash balances declined as investing cash outflows—primarily related to acquisitions and strategic investments—exceeded operating cash inflows.</t>
  </si>
  <si>
    <t>Supporting Calculations</t>
  </si>
  <si>
    <t>Metric</t>
  </si>
  <si>
    <t>Formula / Source</t>
  </si>
  <si>
    <t>Operating Margin (%)</t>
  </si>
  <si>
    <t>Income Statement</t>
  </si>
  <si>
    <t>Calculated</t>
  </si>
  <si>
    <t>Section 2 - Balance Sheet Inputs</t>
  </si>
  <si>
    <t>Section 1 - Income Statement Inputs</t>
  </si>
  <si>
    <t>Formula/Source</t>
  </si>
  <si>
    <t>Cash &amp; Cash Equivalents</t>
  </si>
  <si>
    <t>Goodwill &amp; Intangible Assets, Net</t>
  </si>
  <si>
    <t>Balance Sheet</t>
  </si>
  <si>
    <t>Section 3 - Cash Flow Inputs</t>
  </si>
  <si>
    <t>Operating Cash Flow</t>
  </si>
  <si>
    <t>Capital Expenditures</t>
  </si>
  <si>
    <t>Accounts Receivable</t>
  </si>
  <si>
    <t>Free Cash Flow</t>
  </si>
  <si>
    <t>Investing Cash Flow</t>
  </si>
  <si>
    <t>Financing Cash Flow</t>
  </si>
  <si>
    <t>Ending Cash Balance</t>
  </si>
  <si>
    <t>Cash Flow Statement</t>
  </si>
  <si>
    <t>Prepared by: Rushitha Anantha Sambhavi Galidevara</t>
  </si>
  <si>
    <t>Financial Ratio Analysis</t>
  </si>
  <si>
    <t>Ratio</t>
  </si>
  <si>
    <t>Formula</t>
  </si>
  <si>
    <t>FY2025</t>
  </si>
  <si>
    <t>FY2024</t>
  </si>
  <si>
    <t>FY2023</t>
  </si>
  <si>
    <t>PROFITABILITY RATIOS</t>
  </si>
  <si>
    <t>Revenue Growth</t>
  </si>
  <si>
    <t>Operating Margin</t>
  </si>
  <si>
    <t>Net Profit Margin</t>
  </si>
  <si>
    <t>LIQUIDITY RATIOS</t>
  </si>
  <si>
    <t>Cash Ratio</t>
  </si>
  <si>
    <t>LEVERAGE RATIOS</t>
  </si>
  <si>
    <t>Debt Ratio</t>
  </si>
  <si>
    <t>Equity Ratio</t>
  </si>
  <si>
    <t>Debt-to-Equity</t>
  </si>
  <si>
    <t>EFFICIENCY RATIOS</t>
  </si>
  <si>
    <t>Asset Turnover</t>
  </si>
  <si>
    <t>Receivables Turnover</t>
  </si>
  <si>
    <t>CASH FLOW RATIOS</t>
  </si>
  <si>
    <t>Operating Cash Flow Margin</t>
  </si>
  <si>
    <t>Free Cash Flow Margin</t>
  </si>
  <si>
    <t>Return on Assets (ROA)</t>
  </si>
  <si>
    <t>Return on Equity (ROE)</t>
  </si>
  <si>
    <t>Operating Income / Total Revenue</t>
  </si>
  <si>
    <t>(Current Revenue − Previous Revenue) / Previous Revenue</t>
  </si>
  <si>
    <t>Net Income / Total Revenue</t>
  </si>
  <si>
    <t>Net Income / Average Total Assets</t>
  </si>
  <si>
    <t>Net Income / Average Total Equity</t>
  </si>
  <si>
    <t>Cash &amp; Cash Equivalents / Total Liabilities</t>
  </si>
  <si>
    <t>Total Liabilities / Total Assets</t>
  </si>
  <si>
    <t>Total Equity / Total Assets</t>
  </si>
  <si>
    <t>Total Liabilities / Total Equity</t>
  </si>
  <si>
    <t>Revenue / Average Total Assets</t>
  </si>
  <si>
    <t>Revenue / Average Accounts Receivable</t>
  </si>
  <si>
    <t>Operating Cash Flow / Revenue</t>
  </si>
  <si>
    <t>Free Cash Flow / Revenue</t>
  </si>
  <si>
    <r>
      <t xml:space="preserve">Revenue growth accelerated to </t>
    </r>
    <r>
      <rPr>
        <b/>
        <sz val="11"/>
        <color theme="1"/>
        <rFont val="Arial Nova"/>
        <family val="2"/>
      </rPr>
      <t>18.7%</t>
    </r>
    <r>
      <rPr>
        <sz val="11"/>
        <color theme="1"/>
        <rFont val="Arial Nova"/>
        <family val="2"/>
      </rPr>
      <t xml:space="preserve"> in FY2025 from </t>
    </r>
    <r>
      <rPr>
        <b/>
        <sz val="11"/>
        <color theme="1"/>
        <rFont val="Arial Nova"/>
        <family val="2"/>
      </rPr>
      <t>14.3%</t>
    </r>
    <r>
      <rPr>
        <sz val="11"/>
        <color theme="1"/>
        <rFont val="Arial Nova"/>
        <family val="2"/>
      </rPr>
      <t xml:space="preserve"> in FY2024, driven by higher investment advisory, technology services, and acquisition-related revenue contributions.</t>
    </r>
  </si>
  <si>
    <r>
      <t xml:space="preserve">Operating margin declined to </t>
    </r>
    <r>
      <rPr>
        <b/>
        <sz val="11"/>
        <color theme="1"/>
        <rFont val="Arial Nova"/>
        <family val="2"/>
      </rPr>
      <t>29.1%</t>
    </r>
    <r>
      <rPr>
        <sz val="11"/>
        <color theme="1"/>
        <rFont val="Arial Nova"/>
        <family val="2"/>
      </rPr>
      <t xml:space="preserve"> from </t>
    </r>
    <r>
      <rPr>
        <b/>
        <sz val="11"/>
        <color theme="1"/>
        <rFont val="Arial Nova"/>
        <family val="2"/>
      </rPr>
      <t>37.1%</t>
    </r>
    <r>
      <rPr>
        <sz val="11"/>
        <color theme="1"/>
        <rFont val="Arial Nova"/>
        <family val="2"/>
      </rPr>
      <t>, reflecting higher operating expenses and acquisition-related costs despite strong revenue growth.</t>
    </r>
  </si>
  <si>
    <r>
      <t xml:space="preserve">Net profit margin decreased to </t>
    </r>
    <r>
      <rPr>
        <b/>
        <sz val="11"/>
        <color theme="1"/>
        <rFont val="Arial Nova"/>
        <family val="2"/>
      </rPr>
      <t>24.5%</t>
    </r>
    <r>
      <rPr>
        <sz val="11"/>
        <color theme="1"/>
        <rFont val="Arial Nova"/>
        <family val="2"/>
      </rPr>
      <t>, indicating that net income grew more slowly than revenue due to higher expenses and integration costs.</t>
    </r>
  </si>
  <si>
    <r>
      <t xml:space="preserve">ROA declined to </t>
    </r>
    <r>
      <rPr>
        <b/>
        <sz val="11"/>
        <color theme="1"/>
        <rFont val="Arial Nova"/>
        <family val="2"/>
      </rPr>
      <t>3.9%</t>
    </r>
    <r>
      <rPr>
        <sz val="11"/>
        <color theme="1"/>
        <rFont val="Arial Nova"/>
        <family val="2"/>
      </rPr>
      <t>, reflecting lower profitability relative to the expanded asset base following strategic acquisitions.</t>
    </r>
  </si>
  <si>
    <r>
      <t xml:space="preserve">Cash ratio remained relatively stable at </t>
    </r>
    <r>
      <rPr>
        <b/>
        <sz val="11"/>
        <color theme="1"/>
        <rFont val="Arial Nova"/>
        <family val="2"/>
      </rPr>
      <t>0.11x</t>
    </r>
    <r>
      <rPr>
        <sz val="11"/>
        <color theme="1"/>
        <rFont val="Arial Nova"/>
        <family val="2"/>
      </rPr>
      <t>, indicating adequate short-term liquidity despite increased investment and acquisition activity.</t>
    </r>
  </si>
  <si>
    <r>
      <t xml:space="preserve">Debt ratio improved slightly to </t>
    </r>
    <r>
      <rPr>
        <b/>
        <sz val="11"/>
        <color theme="1"/>
        <rFont val="Arial Nova"/>
        <family val="2"/>
      </rPr>
      <t>63.8%</t>
    </r>
    <r>
      <rPr>
        <sz val="11"/>
        <color theme="1"/>
        <rFont val="Arial Nova"/>
        <family val="2"/>
      </rPr>
      <t>, suggesting a modest reduction in leverage relative to total assets.</t>
    </r>
  </si>
  <si>
    <r>
      <t xml:space="preserve">Equity ratio remained solid at </t>
    </r>
    <r>
      <rPr>
        <b/>
        <sz val="11"/>
        <color theme="1"/>
        <rFont val="Arial Nova"/>
        <family val="2"/>
      </rPr>
      <t>33.0%,</t>
    </r>
    <r>
      <rPr>
        <sz val="11"/>
        <color theme="1"/>
        <rFont val="Arial Nova"/>
        <family val="2"/>
      </rPr>
      <t xml:space="preserve"> demonstrating continued shareholder support for BlackRock's asset base.</t>
    </r>
  </si>
  <si>
    <r>
      <t xml:space="preserve">Debt-to-equity increased slightly to </t>
    </r>
    <r>
      <rPr>
        <b/>
        <sz val="11"/>
        <color theme="1"/>
        <rFont val="Arial Nova"/>
        <family val="2"/>
      </rPr>
      <t>1.93x</t>
    </r>
    <r>
      <rPr>
        <sz val="11"/>
        <color theme="1"/>
        <rFont val="Arial Nova"/>
        <family val="2"/>
      </rPr>
      <t>, reflecting higher liabilities associated with acquisition financing while maintaining a balanced capital structure.</t>
    </r>
  </si>
  <si>
    <r>
      <t xml:space="preserve">Asset turnover remained stable at </t>
    </r>
    <r>
      <rPr>
        <b/>
        <sz val="11"/>
        <color theme="1"/>
        <rFont val="Arial Nova"/>
        <family val="2"/>
      </rPr>
      <t>0.16x</t>
    </r>
    <r>
      <rPr>
        <sz val="11"/>
        <color theme="1"/>
        <rFont val="Arial Nova"/>
        <family val="2"/>
      </rPr>
      <t>, indicating consistent efficiency in generating revenue from total assets.</t>
    </r>
  </si>
  <si>
    <r>
      <t xml:space="preserve">Receivables turnover improved to </t>
    </r>
    <r>
      <rPr>
        <b/>
        <sz val="11"/>
        <color theme="1"/>
        <rFont val="Arial Nova"/>
        <family val="2"/>
      </rPr>
      <t>5.12x</t>
    </r>
    <r>
      <rPr>
        <sz val="11"/>
        <color theme="1"/>
        <rFont val="Arial Nova"/>
        <family val="2"/>
      </rPr>
      <t>, reflecting faster collection of receivables and improved working capital management.</t>
    </r>
  </si>
  <si>
    <r>
      <t xml:space="preserve">Operating cash flow margin declined to </t>
    </r>
    <r>
      <rPr>
        <b/>
        <sz val="11"/>
        <color theme="1"/>
        <rFont val="Arial Nova"/>
        <family val="2"/>
      </rPr>
      <t>16.2%</t>
    </r>
    <r>
      <rPr>
        <sz val="11"/>
        <color theme="1"/>
        <rFont val="Arial Nova"/>
        <family val="2"/>
      </rPr>
      <t>, primarily due to higher working capital requirements and acquisition-related cash adjustments.</t>
    </r>
  </si>
  <si>
    <r>
      <t xml:space="preserve">Free cash flow margin decreased to </t>
    </r>
    <r>
      <rPr>
        <b/>
        <sz val="11"/>
        <color theme="1"/>
        <rFont val="Arial Nova"/>
        <family val="2"/>
      </rPr>
      <t>17.8%</t>
    </r>
    <r>
      <rPr>
        <sz val="11"/>
        <color theme="1"/>
        <rFont val="Arial Nova"/>
        <family val="2"/>
      </rPr>
      <t>, reflecting increased capital deployment toward acquisitions and strategic investments during FY2025.</t>
    </r>
  </si>
  <si>
    <r>
      <rPr>
        <b/>
        <sz val="12"/>
        <color theme="3" tint="9.9978637043366805E-2"/>
        <rFont val="Arial Nova"/>
        <family val="2"/>
      </rPr>
      <t>Executive Summary:</t>
    </r>
    <r>
      <rPr>
        <sz val="11"/>
        <color theme="1"/>
        <rFont val="Aptos Narrow"/>
        <family val="2"/>
        <scheme val="minor"/>
      </rPr>
      <t xml:space="preserve">
</t>
    </r>
    <r>
      <rPr>
        <sz val="11"/>
        <color theme="1"/>
        <rFont val="Arial Nova"/>
        <family val="2"/>
      </rPr>
      <t>• Revenue growth accelerated to 18.7% in FY2025, supported by strong organic business performance and contributions from strategic acquisitions.
• Profitability moderated as operating margin (29.1%) and net profit margin (24.5%) declined due to higher operating expenses and acquisition-related integration costs.
• Liquidity remained healthy, with a cash ratio of 0.11x, providing sufficient financial flexibility to support ongoing operations and investments.
• Leverage remained well managed, with a 63.8% debt ratio and 1.93x debt-to-equity ratio, reflecting a balanced capital structure despite acquisition financing.
• Operating efficiency remained stable, while receivables turnover improved to 5.12x, indicating effective working capital management.
• Although operating and free cash flow margins declined, BlackRock continued to generate strong operating cash flows, supporting long-term strategic investments and shareholder returns.</t>
    </r>
  </si>
  <si>
    <r>
      <rPr>
        <b/>
        <sz val="12"/>
        <color theme="3" tint="9.9978637043366805E-2"/>
        <rFont val="Arial Nova"/>
        <family val="2"/>
      </rPr>
      <t>Overall Analysis:</t>
    </r>
    <r>
      <rPr>
        <sz val="11"/>
        <color theme="1"/>
        <rFont val="Arial Nova"/>
        <family val="2"/>
      </rPr>
      <t xml:space="preserve">
BlackRock's financial ratios demonstrate that the company maintained a strong financial position throughout FY2025 while continuing to invest in long-term growth initiatives. Revenue growth strengthened significantly, supported by strategic acquisitions and expansion across its investment management platform. Although profitability and cash flow margins moderated due to acquisition-related expenses and integration costs, the company preserved healthy liquidity, maintained a balanced capital structure, and continued operating efficiently. Overall, the ratio analysis reflects BlackRock's financial resilience, disciplined capital allocation, and ability to support sustainable long-term shareholder value.</t>
    </r>
  </si>
  <si>
    <t>Financial Charts &amp; Visual Analysis</t>
  </si>
  <si>
    <t>Revenue vs Net Income</t>
  </si>
  <si>
    <t>Year</t>
  </si>
  <si>
    <t>Revenue</t>
  </si>
  <si>
    <t>Assets vs. Liabilities &amp; Equity</t>
  </si>
  <si>
    <t>Profitability Margins Trend</t>
  </si>
  <si>
    <t>Cash Flow Performance</t>
  </si>
  <si>
    <t>Efficiency Ratios</t>
  </si>
  <si>
    <t>Financial Performance Dashboard</t>
  </si>
  <si>
    <t>All amounts in millions of U.S. dollars, except per-share and ratio data.</t>
  </si>
  <si>
    <t>FY2025 KPI cards</t>
  </si>
  <si>
    <t>3-Year Financial Performance Analysis</t>
  </si>
  <si>
    <t>2024 YoY</t>
  </si>
  <si>
    <t>2025 YoY</t>
  </si>
  <si>
    <t>Net Margin</t>
  </si>
  <si>
    <t>1. Strong top-line growth</t>
  </si>
  <si>
    <t>2. Profitability weakened despite revenue growth</t>
  </si>
  <si>
    <t>3. EPS experienced greater pressure</t>
  </si>
  <si>
    <t>Key Financial Takeaways:</t>
  </si>
  <si>
    <t>AUM Growth Analysis:</t>
  </si>
  <si>
    <t>YoY Growth</t>
  </si>
  <si>
    <t>-</t>
  </si>
  <si>
    <t>AUM expanded from $10.0T in FY2023 to $14.0T in FY2025, with growth accelerating to 21.6% in FY2025, supporting BlackRock's expanding asset base and revenue-generating capacity.</t>
  </si>
  <si>
    <t>Total AUM ($T)</t>
  </si>
  <si>
    <t>Net Income Attributable to BLK</t>
  </si>
  <si>
    <t>4. AUM growth remained strong</t>
  </si>
  <si>
    <t xml:space="preserve"> </t>
  </si>
  <si>
    <t>BlackRock Relative Valuation</t>
  </si>
  <si>
    <t>Company</t>
  </si>
  <si>
    <t>P/E</t>
  </si>
  <si>
    <t>BlackRock</t>
  </si>
  <si>
    <t>T. Rowe Price</t>
  </si>
  <si>
    <t>Franklin Resources</t>
  </si>
  <si>
    <t>Invesco</t>
  </si>
  <si>
    <t>Peer Median</t>
  </si>
  <si>
    <t>Aug. 14 Price</t>
  </si>
  <si>
    <t>FY2025 GAAP EPS</t>
  </si>
  <si>
    <t>FY2025 Adjusted EPS</t>
  </si>
  <si>
    <t>BlackRock Implied Valuation</t>
  </si>
  <si>
    <t>Peer Median P/E</t>
  </si>
  <si>
    <t>15.25x</t>
  </si>
  <si>
    <t>Implied Share Price</t>
  </si>
  <si>
    <t>Aug. 14 BLK Price</t>
  </si>
  <si>
    <t>Implied Upside / (Downside)</t>
  </si>
  <si>
    <t>P/E Sensitivity Analysis</t>
  </si>
  <si>
    <t>P/E Multiple</t>
  </si>
  <si>
    <t>Upside / (Downside)</t>
  </si>
  <si>
    <t>BlackRock P/B Relative Valuation</t>
  </si>
  <si>
    <t>FY2025 Book Value / Share</t>
  </si>
  <si>
    <t>P/B</t>
  </si>
  <si>
    <t>Aug. 14 2026, Closing Price</t>
  </si>
  <si>
    <t>VALUATION SUMMARY</t>
  </si>
  <si>
    <t>BLK Premium</t>
  </si>
  <si>
    <t>Adjusted P/E</t>
  </si>
  <si>
    <t>BLACKROCK — KEY INVESTMENT INSIGHTS</t>
  </si>
  <si>
    <t>FY2025 Financial Performance, Operating Trends &amp; Relative Valuation</t>
  </si>
  <si>
    <t>1. AUM Expansion Supports Strong Top-Line Momentum</t>
  </si>
  <si>
    <t>2. Earnings Conversion Lagged Operating Momentum</t>
  </si>
  <si>
    <t>3. Market Assigns BlackRock a Material Premium to Selected Peers</t>
  </si>
  <si>
    <t>4. Relative Valuation Highlights the Multiple Embedded in the Current Price</t>
  </si>
  <si>
    <r>
      <t xml:space="preserve">Revenue increased </t>
    </r>
    <r>
      <rPr>
        <b/>
        <sz val="11"/>
        <color theme="1"/>
        <rFont val="Arial Nova"/>
        <family val="2"/>
      </rPr>
      <t xml:space="preserve">18.7% YoY to $24.2B in </t>
    </r>
    <r>
      <rPr>
        <sz val="11"/>
        <color theme="1"/>
        <rFont val="Arial Nova"/>
        <family val="2"/>
      </rPr>
      <t xml:space="preserve">FY2025, accelerating from </t>
    </r>
    <r>
      <rPr>
        <b/>
        <sz val="11"/>
        <color theme="1"/>
        <rFont val="Arial Nova"/>
        <family val="2"/>
      </rPr>
      <t>14.3%</t>
    </r>
    <r>
      <rPr>
        <sz val="11"/>
        <color theme="1"/>
        <rFont val="Arial Nova"/>
        <family val="2"/>
      </rPr>
      <t xml:space="preserve"> growth in FY2024.</t>
    </r>
  </si>
  <si>
    <r>
      <t xml:space="preserve">Operating income declined </t>
    </r>
    <r>
      <rPr>
        <b/>
        <sz val="11"/>
        <color theme="1"/>
        <rFont val="Arial Nova"/>
        <family val="2"/>
      </rPr>
      <t>7.0%</t>
    </r>
    <r>
      <rPr>
        <sz val="11"/>
        <color theme="1"/>
        <rFont val="Arial Nova"/>
        <family val="2"/>
      </rPr>
      <t xml:space="preserve"> and net income attributable to BLK declined </t>
    </r>
    <r>
      <rPr>
        <b/>
        <sz val="11"/>
        <color theme="1"/>
        <rFont val="Arial Nova"/>
        <family val="2"/>
      </rPr>
      <t>12.8%</t>
    </r>
    <r>
      <rPr>
        <sz val="11"/>
        <color theme="1"/>
        <rFont val="Arial Nova"/>
        <family val="2"/>
      </rPr>
      <t xml:space="preserve"> in FY2025, while operating margin contracted 802 bps to </t>
    </r>
    <r>
      <rPr>
        <b/>
        <sz val="11"/>
        <color theme="1"/>
        <rFont val="Arial Nova"/>
        <family val="2"/>
      </rPr>
      <t>29.1%</t>
    </r>
    <r>
      <rPr>
        <sz val="11"/>
        <color theme="1"/>
        <rFont val="Arial Nova"/>
        <family val="2"/>
      </rPr>
      <t>.</t>
    </r>
  </si>
  <si>
    <r>
      <t xml:space="preserve">Diluted EPS declined </t>
    </r>
    <r>
      <rPr>
        <b/>
        <sz val="11"/>
        <color theme="1"/>
        <rFont val="Arial Nova"/>
        <family val="2"/>
      </rPr>
      <t>15.9%</t>
    </r>
    <r>
      <rPr>
        <sz val="11"/>
        <color theme="1"/>
        <rFont val="Arial Nova"/>
        <family val="2"/>
      </rPr>
      <t xml:space="preserve"> to </t>
    </r>
    <r>
      <rPr>
        <b/>
        <sz val="11"/>
        <color theme="1"/>
        <rFont val="Arial Nova"/>
        <family val="2"/>
      </rPr>
      <t>$35.31</t>
    </r>
    <r>
      <rPr>
        <sz val="11"/>
        <color theme="1"/>
        <rFont val="Arial Nova"/>
        <family val="2"/>
      </rPr>
      <t xml:space="preserve">, outpacing the </t>
    </r>
    <r>
      <rPr>
        <b/>
        <sz val="11"/>
        <color theme="1"/>
        <rFont val="Arial Nova"/>
        <family val="2"/>
      </rPr>
      <t>12.8%</t>
    </r>
    <r>
      <rPr>
        <sz val="11"/>
        <color theme="1"/>
        <rFont val="Arial Nova"/>
        <family val="2"/>
      </rPr>
      <t xml:space="preserve"> decline in net income attributable to BLK and indicating greater pressure on per-share earnings despite strong revenue growth.</t>
    </r>
  </si>
  <si>
    <r>
      <t>Total AUM increased</t>
    </r>
    <r>
      <rPr>
        <b/>
        <sz val="11"/>
        <color theme="1"/>
        <rFont val="Arial Nova"/>
        <family val="2"/>
      </rPr>
      <t xml:space="preserve"> 21.6%</t>
    </r>
    <r>
      <rPr>
        <sz val="11"/>
        <color theme="1"/>
        <rFont val="Arial Nova"/>
        <family val="2"/>
      </rPr>
      <t xml:space="preserve"> YoY to </t>
    </r>
    <r>
      <rPr>
        <b/>
        <sz val="11"/>
        <color theme="1"/>
        <rFont val="Arial Nova"/>
        <family val="2"/>
      </rPr>
      <t>$14.0T</t>
    </r>
    <r>
      <rPr>
        <sz val="11"/>
        <color theme="1"/>
        <rFont val="Arial Nova"/>
        <family val="2"/>
      </rPr>
      <t xml:space="preserve"> in FY2025, accelerating from </t>
    </r>
    <r>
      <rPr>
        <b/>
        <sz val="11"/>
        <color theme="1"/>
        <rFont val="Arial Nova"/>
        <family val="2"/>
      </rPr>
      <t>15.4%</t>
    </r>
    <r>
      <rPr>
        <sz val="11"/>
        <color theme="1"/>
        <rFont val="Arial Nova"/>
        <family val="2"/>
      </rPr>
      <t xml:space="preserve"> growth in FY2024 and supporting BlackRock's expanding revenue-generating asset base.</t>
    </r>
  </si>
  <si>
    <r>
      <t xml:space="preserve">BlackRock generated </t>
    </r>
    <r>
      <rPr>
        <b/>
        <sz val="11"/>
        <color theme="1"/>
        <rFont val="Arial Nova"/>
        <family val="2"/>
      </rPr>
      <t>18.7%</t>
    </r>
    <r>
      <rPr>
        <sz val="11"/>
        <color theme="1"/>
        <rFont val="Arial Nova"/>
        <family val="2"/>
      </rPr>
      <t xml:space="preserve"> year-over-year revenue growth to </t>
    </r>
    <r>
      <rPr>
        <b/>
        <sz val="11"/>
        <color theme="1"/>
        <rFont val="Arial Nova"/>
        <family val="2"/>
      </rPr>
      <t>$24.2B</t>
    </r>
    <r>
      <rPr>
        <sz val="11"/>
        <color theme="1"/>
        <rFont val="Arial Nova"/>
        <family val="2"/>
      </rPr>
      <t xml:space="preserve"> in FY2025, alongside </t>
    </r>
    <r>
      <rPr>
        <b/>
        <sz val="11"/>
        <color theme="1"/>
        <rFont val="Arial Nova"/>
        <family val="2"/>
      </rPr>
      <t>21.6%</t>
    </r>
    <r>
      <rPr>
        <sz val="11"/>
        <color theme="1"/>
        <rFont val="Arial Nova"/>
        <family val="2"/>
      </rPr>
      <t xml:space="preserve"> growth in AUM to approximately</t>
    </r>
    <r>
      <rPr>
        <b/>
        <sz val="11"/>
        <color theme="1"/>
        <rFont val="Arial Nova"/>
        <family val="2"/>
      </rPr>
      <t xml:space="preserve"> $14.0T</t>
    </r>
    <r>
      <rPr>
        <sz val="11"/>
        <color theme="1"/>
        <rFont val="Arial Nova"/>
        <family val="2"/>
      </rPr>
      <t>. The expansion in the asset base reinforces the firm's scale advantage and provides a strong foundation for fee-generating revenue growth.</t>
    </r>
  </si>
  <si>
    <r>
      <t xml:space="preserve">Strong top-line growth did not translate proportionately into GAAP earnings growth, with operating income declining </t>
    </r>
    <r>
      <rPr>
        <b/>
        <sz val="11"/>
        <color theme="1"/>
        <rFont val="Arial Nova"/>
        <family val="2"/>
      </rPr>
      <t>7.0%</t>
    </r>
    <r>
      <rPr>
        <sz val="11"/>
        <color theme="1"/>
        <rFont val="Arial Nova"/>
        <family val="2"/>
      </rPr>
      <t xml:space="preserve"> and net income attributable to BlackRock declining </t>
    </r>
    <r>
      <rPr>
        <b/>
        <sz val="11"/>
        <color theme="1"/>
        <rFont val="Arial Nova"/>
        <family val="2"/>
      </rPr>
      <t>12.8%</t>
    </r>
    <r>
      <rPr>
        <sz val="11"/>
        <color theme="1"/>
        <rFont val="Arial Nova"/>
        <family val="2"/>
      </rPr>
      <t>. Operating margin contracted approximately</t>
    </r>
    <r>
      <rPr>
        <b/>
        <sz val="11"/>
        <color theme="1"/>
        <rFont val="Arial Nova"/>
        <family val="2"/>
      </rPr>
      <t xml:space="preserve"> 802</t>
    </r>
    <r>
      <rPr>
        <sz val="11"/>
        <color theme="1"/>
        <rFont val="Arial Nova"/>
        <family val="2"/>
      </rPr>
      <t xml:space="preserve"> bps to </t>
    </r>
    <r>
      <rPr>
        <b/>
        <sz val="11"/>
        <color theme="1"/>
        <rFont val="Arial Nova"/>
        <family val="2"/>
      </rPr>
      <t>29.1%</t>
    </r>
    <r>
      <rPr>
        <sz val="11"/>
        <color theme="1"/>
        <rFont val="Arial Nova"/>
        <family val="2"/>
      </rPr>
      <t>, highlighting weaker earnings conversion despite significant AUM and revenue expansion.</t>
    </r>
  </si>
  <si>
    <r>
      <t xml:space="preserve">BlackRock trades at </t>
    </r>
    <r>
      <rPr>
        <b/>
        <sz val="11"/>
        <color theme="1"/>
        <rFont val="Arial Nova"/>
        <family val="2"/>
      </rPr>
      <t>24.41x</t>
    </r>
    <r>
      <rPr>
        <sz val="11"/>
        <color theme="1"/>
        <rFont val="Arial Nova"/>
        <family val="2"/>
      </rPr>
      <t xml:space="preserve"> FY2025 adjusted diluted EPS versus a </t>
    </r>
    <r>
      <rPr>
        <b/>
        <sz val="11"/>
        <color theme="1"/>
        <rFont val="Arial Nova"/>
        <family val="2"/>
      </rPr>
      <t>15.25x</t>
    </r>
    <r>
      <rPr>
        <sz val="11"/>
        <color theme="1"/>
        <rFont val="Arial Nova"/>
        <family val="2"/>
      </rPr>
      <t xml:space="preserve"> selected-peer median, representing an approximately </t>
    </r>
    <r>
      <rPr>
        <b/>
        <sz val="11"/>
        <color theme="1"/>
        <rFont val="Arial Nova"/>
        <family val="2"/>
      </rPr>
      <t>60.1%</t>
    </r>
    <r>
      <rPr>
        <sz val="11"/>
        <color theme="1"/>
        <rFont val="Arial Nova"/>
        <family val="2"/>
      </rPr>
      <t xml:space="preserve"> premium. Its</t>
    </r>
    <r>
      <rPr>
        <b/>
        <sz val="11"/>
        <color theme="1"/>
        <rFont val="Arial Nova"/>
        <family val="2"/>
      </rPr>
      <t xml:space="preserve"> 3.26x</t>
    </r>
    <r>
      <rPr>
        <sz val="11"/>
        <color theme="1"/>
        <rFont val="Arial Nova"/>
        <family val="2"/>
      </rPr>
      <t xml:space="preserve"> P/B multiple similarly exceeds the </t>
    </r>
    <r>
      <rPr>
        <b/>
        <sz val="11"/>
        <color theme="1"/>
        <rFont val="Arial Nova"/>
        <family val="2"/>
      </rPr>
      <t>2.23x</t>
    </r>
    <r>
      <rPr>
        <sz val="11"/>
        <color theme="1"/>
        <rFont val="Arial Nova"/>
        <family val="2"/>
      </rPr>
      <t xml:space="preserve"> peer median by approximately </t>
    </r>
    <r>
      <rPr>
        <b/>
        <sz val="11"/>
        <color theme="1"/>
        <rFont val="Arial Nova"/>
        <family val="2"/>
      </rPr>
      <t>46.2%</t>
    </r>
    <r>
      <rPr>
        <sz val="11"/>
        <color theme="1"/>
        <rFont val="Arial Nova"/>
        <family val="2"/>
      </rPr>
      <t>, indicating that investors are assigning a meaningful premium to BlackRock relative to the selected traditional asset-management peer set.</t>
    </r>
  </si>
  <si>
    <r>
      <t xml:space="preserve">Applying the </t>
    </r>
    <r>
      <rPr>
        <b/>
        <sz val="11"/>
        <color theme="1"/>
        <rFont val="Arial Nova"/>
        <family val="2"/>
      </rPr>
      <t>15.25x</t>
    </r>
    <r>
      <rPr>
        <sz val="11"/>
        <color theme="1"/>
        <rFont val="Arial Nova"/>
        <family val="2"/>
      </rPr>
      <t xml:space="preserve"> selected-peer median P/E to BlackRock's FY2025 adjusted diluted EPS implies a value of approximately</t>
    </r>
    <r>
      <rPr>
        <b/>
        <sz val="11"/>
        <color theme="1"/>
        <rFont val="Arial Nova"/>
        <family val="2"/>
      </rPr>
      <t xml:space="preserve"> $733</t>
    </r>
    <r>
      <rPr>
        <sz val="11"/>
        <color theme="1"/>
        <rFont val="Arial Nova"/>
        <family val="2"/>
      </rPr>
      <t xml:space="preserve"> per share versus the </t>
    </r>
    <r>
      <rPr>
        <b/>
        <sz val="11"/>
        <color theme="1"/>
        <rFont val="Arial Nova"/>
        <family val="2"/>
      </rPr>
      <t>$1,173.73</t>
    </r>
    <r>
      <rPr>
        <sz val="11"/>
        <color theme="1"/>
        <rFont val="Arial Nova"/>
        <family val="2"/>
      </rPr>
      <t xml:space="preserve"> August 14 closing price. Sensitivity analysis across a </t>
    </r>
    <r>
      <rPr>
        <b/>
        <sz val="11"/>
        <color theme="1"/>
        <rFont val="Arial Nova"/>
        <family val="2"/>
      </rPr>
      <t>15.0x–25.0x</t>
    </r>
    <r>
      <rPr>
        <sz val="11"/>
        <color theme="1"/>
        <rFont val="Arial Nova"/>
        <family val="2"/>
      </rPr>
      <t xml:space="preserve"> P/E range produces implied values of approximately </t>
    </r>
    <r>
      <rPr>
        <b/>
        <sz val="11"/>
        <color theme="1"/>
        <rFont val="Arial Nova"/>
        <family val="2"/>
      </rPr>
      <t>$721–$1,202</t>
    </r>
    <r>
      <rPr>
        <sz val="11"/>
        <color theme="1"/>
        <rFont val="Arial Nova"/>
        <family val="2"/>
      </rPr>
      <t xml:space="preserve"> per share, indicating that the prevailing market price requires a valuation multiple near the upper end of the analyzed range.</t>
    </r>
  </si>
  <si>
    <t>INVESTMENT VIEW:</t>
  </si>
  <si>
    <r>
      <t xml:space="preserve">BlackRock's FY2025 performance reflects </t>
    </r>
    <r>
      <rPr>
        <b/>
        <sz val="11"/>
        <color theme="1"/>
        <rFont val="Arial Nova"/>
        <family val="2"/>
      </rPr>
      <t>strong underlying business momentum</t>
    </r>
    <r>
      <rPr>
        <sz val="11"/>
        <color theme="1"/>
        <rFont val="Arial Nova"/>
        <family val="2"/>
      </rPr>
      <t xml:space="preserve">, supported by substantial AUM expansion and accelerating revenue growth, while </t>
    </r>
    <r>
      <rPr>
        <b/>
        <sz val="11"/>
        <color theme="1"/>
        <rFont val="Arial Nova"/>
        <family val="2"/>
      </rPr>
      <t>weaker GAAP earnings conversion and margin compression</t>
    </r>
    <r>
      <rPr>
        <sz val="11"/>
        <color theme="1"/>
        <rFont val="Arial Nova"/>
        <family val="2"/>
      </rPr>
      <t xml:space="preserve"> remain key considerations. The shares trade at </t>
    </r>
    <r>
      <rPr>
        <b/>
        <sz val="11"/>
        <color theme="1"/>
        <rFont val="Arial Nova"/>
        <family val="2"/>
      </rPr>
      <t>meaningful P/E and P/B premiums</t>
    </r>
    <r>
      <rPr>
        <sz val="11"/>
        <color theme="1"/>
        <rFont val="Arial Nova"/>
        <family val="2"/>
      </rPr>
      <t xml:space="preserve"> to the selected peer group, indicating that the market is pricing in </t>
    </r>
    <r>
      <rPr>
        <b/>
        <sz val="11"/>
        <color theme="1"/>
        <rFont val="Arial Nova"/>
        <family val="2"/>
      </rPr>
      <t>sustained growth and superior business quality</t>
    </r>
    <r>
      <rPr>
        <sz val="11"/>
        <color theme="1"/>
        <rFont val="Arial Nova"/>
        <family val="2"/>
      </rPr>
      <t>. The investment case therefore depends on BlackRock's ability to convert continued asset growth and scale advantages into stronger earnings and margin performance sufficient to justify its premium valuation relative to the selected peer group.</t>
    </r>
  </si>
  <si>
    <t>Relative Valuation — BlackRock vs. Selected Peers</t>
  </si>
  <si>
    <t>Project Title: BlackRock Investment Analysis &amp; Relative Valuation</t>
  </si>
  <si>
    <r>
      <t>ROE declined to</t>
    </r>
    <r>
      <rPr>
        <b/>
        <sz val="11"/>
        <color theme="1"/>
        <rFont val="Arial Nova"/>
        <family val="2"/>
      </rPr>
      <t xml:space="preserve"> 11.5%</t>
    </r>
    <r>
      <rPr>
        <sz val="11"/>
        <color theme="1"/>
        <rFont val="Arial Nova"/>
        <family val="2"/>
      </rPr>
      <t>, reflecting lower profitability relative to the equity base following strategic acquisitions.</t>
    </r>
  </si>
  <si>
    <t>Source</t>
  </si>
  <si>
    <t>Information Used</t>
  </si>
  <si>
    <t>Period / Data</t>
  </si>
  <si>
    <t>URL</t>
  </si>
  <si>
    <t>FY2023–FY2025</t>
  </si>
  <si>
    <t>Link</t>
  </si>
  <si>
    <t>Historical financial data used for cross-checking</t>
  </si>
  <si>
    <t>BlackRock Annual Reports</t>
  </si>
  <si>
    <t>Income statement, balance sheet, cash flow, AUM, operating results and company disclosures</t>
  </si>
  <si>
    <t>Earnings materials, investor information and company disclosures</t>
  </si>
  <si>
    <t>SEC Filings / Form 10-K</t>
  </si>
  <si>
    <t>Regulatory filings and verification of reported financial information</t>
  </si>
  <si>
    <t>Yahoo Finance — BLK</t>
  </si>
  <si>
    <t>Share price and market/valuation data</t>
  </si>
  <si>
    <t>Market data</t>
  </si>
  <si>
    <t>Macrotrends — BLK</t>
  </si>
  <si>
    <t>Historical data</t>
  </si>
  <si>
    <t>Sources &amp; References</t>
  </si>
  <si>
    <t>Primary company filings, investor materials, and market data sources used in the analysis.</t>
  </si>
  <si>
    <t>BlackRock Relative Valuation &amp; Sensitivity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</si>
</sst>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_);[Red]\(&quot;$&quot;#,##0.00\)"/>
    <numFmt numFmtId="44" formatCode="_(&quot;$&quot;* #,##0.00_);_(&quot;$&quot;* \(#,##0.00\);_(&quot;$&quot;* &quot;-&quot;??_);_(@_)"/>
    <numFmt numFmtId="164" formatCode="0.0%"/>
    <numFmt numFmtId="165" formatCode="0.00\x"/>
    <numFmt numFmtId="166" formatCode="\+0\ &quot;bps&quot;;\-0\ &quot;bps&quot;;0\ &quot;bps&quot;"/>
    <numFmt numFmtId="167" formatCode="&quot;$&quot;#,##0.00"/>
    <numFmt numFmtId="168" formatCode="00.00\x"/>
  </numFmts>
  <fonts count="46">
    <font>
      <sz val="11"/>
      <color theme="1"/>
      <name val="Aptos Narrow"/>
      <family val="2"/>
      <scheme val="minor"/>
    </font>
    <font>
      <sz val="11"/>
      <color theme="1"/>
      <name val="Aptos Narrow"/>
      <family val="2"/>
      <scheme val="minor"/>
    </font>
    <font>
      <sz val="14"/>
      <color theme="1"/>
      <name val="Arial Nova"/>
      <family val="2"/>
    </font>
    <font>
      <sz val="11"/>
      <color theme="1"/>
      <name val="Arial Nova"/>
      <family val="2"/>
    </font>
    <font>
      <b/>
      <sz val="11"/>
      <color theme="1"/>
      <name val="Arial Nova"/>
      <family val="2"/>
    </font>
    <font>
      <sz val="11"/>
      <color theme="1"/>
      <name val="Calibri"/>
      <family val="2"/>
    </font>
    <font>
      <b/>
      <sz val="12"/>
      <color theme="0"/>
      <name val="Arial Nova"/>
      <family val="2"/>
    </font>
    <font>
      <sz val="10"/>
      <color theme="1"/>
      <name val="Arial Nova"/>
      <family val="2"/>
    </font>
    <font>
      <b/>
      <sz val="10"/>
      <color theme="0"/>
      <name val="Arial Nova"/>
      <family val="2"/>
    </font>
    <font>
      <b/>
      <sz val="10"/>
      <color theme="1"/>
      <name val="Arial Nova"/>
      <family val="2"/>
    </font>
    <font>
      <b/>
      <sz val="16"/>
      <color theme="1"/>
      <name val="Arial Nova"/>
      <family val="2"/>
    </font>
    <font>
      <sz val="12"/>
      <color theme="1"/>
      <name val="Arial Nova"/>
      <family val="2"/>
    </font>
    <font>
      <sz val="16"/>
      <color theme="1"/>
      <name val="Arial Nova"/>
      <family val="2"/>
    </font>
    <font>
      <sz val="10"/>
      <color theme="0"/>
      <name val="Arial Nova"/>
      <family val="2"/>
    </font>
    <font>
      <b/>
      <sz val="11"/>
      <color theme="3" tint="9.9978637043366805E-2"/>
      <name val="Arial Nova"/>
      <family val="2"/>
    </font>
    <font>
      <b/>
      <sz val="11"/>
      <color theme="3" tint="9.9978637043366805E-2"/>
      <name val="Aptos Narrow"/>
      <family val="2"/>
      <scheme val="minor"/>
    </font>
    <font>
      <b/>
      <sz val="11"/>
      <color theme="0"/>
      <name val="Arial Nova"/>
      <family val="2"/>
    </font>
    <font>
      <b/>
      <sz val="12"/>
      <color theme="3" tint="9.9978637043366805E-2"/>
      <name val="Arial Nova"/>
      <family val="2"/>
    </font>
    <font>
      <sz val="11"/>
      <color theme="2" tint="-0.89999084444715716"/>
      <name val="Aptos Narrow"/>
      <family val="2"/>
      <scheme val="minor"/>
    </font>
    <font>
      <i/>
      <sz val="11"/>
      <color theme="2" tint="-0.89999084444715716"/>
      <name val="Arial Nova"/>
      <family val="2"/>
    </font>
    <font>
      <b/>
      <i/>
      <sz val="11"/>
      <color theme="2" tint="-0.89999084444715716"/>
      <name val="Arial Nova"/>
      <family val="2"/>
    </font>
    <font>
      <b/>
      <i/>
      <sz val="11"/>
      <color theme="3" tint="9.9978637043366805E-2"/>
      <name val="Arial Nova"/>
      <family val="2"/>
    </font>
    <font>
      <i/>
      <sz val="11"/>
      <color theme="1"/>
      <name val="Arial Nova"/>
      <family val="2"/>
    </font>
    <font>
      <sz val="12"/>
      <color theme="0"/>
      <name val="Arial Nova"/>
      <family val="2"/>
    </font>
    <font>
      <b/>
      <sz val="11"/>
      <color theme="0"/>
      <name val="Aptos Narrow"/>
      <family val="2"/>
      <scheme val="minor"/>
    </font>
    <font>
      <b/>
      <sz val="11"/>
      <color theme="1"/>
      <name val="Aptos Narrow"/>
      <family val="2"/>
      <scheme val="minor"/>
    </font>
    <font>
      <b/>
      <i/>
      <sz val="12"/>
      <color theme="3" tint="9.9978637043366805E-2"/>
      <name val="Arial Nova"/>
      <family val="2"/>
    </font>
    <font>
      <sz val="16"/>
      <color theme="3" tint="9.9978637043366805E-2"/>
      <name val="Arial Nova"/>
      <family val="2"/>
    </font>
    <font>
      <b/>
      <sz val="16"/>
      <color theme="3" tint="9.9978637043366805E-2"/>
      <name val="Arial Nova"/>
      <family val="2"/>
    </font>
    <font>
      <sz val="11"/>
      <color theme="3" tint="9.9978637043366805E-2"/>
      <name val="Aptos Narrow"/>
      <family val="2"/>
      <scheme val="minor"/>
    </font>
    <font>
      <sz val="14"/>
      <color theme="1"/>
      <name val="Aptos Narrow"/>
      <family val="2"/>
      <scheme val="minor"/>
    </font>
    <font>
      <b/>
      <sz val="14"/>
      <color theme="1"/>
      <name val="Aptos Narrow"/>
      <family val="2"/>
      <scheme val="minor"/>
    </font>
    <font>
      <b/>
      <sz val="14"/>
      <color theme="3" tint="9.9978637043366805E-2"/>
      <name val="Arial Nova"/>
      <family val="2"/>
    </font>
    <font>
      <b/>
      <sz val="18"/>
      <color theme="3" tint="9.9978637043366805E-2"/>
      <name val="Arial Nova"/>
      <family val="2"/>
    </font>
    <font>
      <sz val="18"/>
      <color theme="3" tint="9.9978637043366805E-2"/>
      <name val="Arial Nova"/>
      <family val="2"/>
    </font>
    <font>
      <b/>
      <sz val="15"/>
      <color theme="3" tint="9.9978637043366805E-2"/>
      <name val="Arial Nova"/>
      <family val="2"/>
    </font>
    <font>
      <sz val="10"/>
      <color theme="1"/>
      <name val="Arial Unicode MS"/>
    </font>
    <font>
      <b/>
      <sz val="12"/>
      <color theme="3" tint="9.9978637043366805E-2"/>
      <name val="Aptos Narrow"/>
      <family val="2"/>
      <scheme val="minor"/>
    </font>
    <font>
      <b/>
      <sz val="12"/>
      <color theme="1"/>
      <name val="Arial Nova"/>
      <family val="2"/>
    </font>
    <font>
      <b/>
      <sz val="12"/>
      <color theme="3"/>
      <name val="Arial Nova"/>
      <family val="2"/>
    </font>
    <font>
      <b/>
      <sz val="14"/>
      <color theme="1"/>
      <name val="Arial Nova"/>
      <family val="2"/>
    </font>
    <font>
      <sz val="14"/>
      <color theme="3" tint="9.9978637043366805E-2"/>
      <name val="Arial Nova"/>
      <family val="2"/>
    </font>
    <font>
      <u/>
      <sz val="11"/>
      <color theme="10"/>
      <name val="Aptos Narrow"/>
      <family val="2"/>
      <scheme val="minor"/>
    </font>
    <font>
      <sz val="12"/>
      <color theme="3" tint="9.9978637043366805E-2"/>
      <name val="Arial Nova"/>
      <family val="2"/>
    </font>
    <font>
      <i/>
      <sz val="12"/>
      <color theme="3" tint="9.9978637043366805E-2"/>
      <name val="Arial Nova"/>
      <family val="2"/>
    </font>
    <font>
      <i/>
      <sz val="16"/>
      <color theme="3" tint="9.9978637043366805E-2"/>
      <name val="Arial Nova"/>
      <family val="2"/>
    </font>
  </fonts>
  <fills count="5">
    <fill>
      <patternFill patternType="none"/>
    </fill>
    <fill>
      <patternFill patternType="gray125"/>
    </fill>
    <fill>
      <patternFill patternType="solid">
        <fgColor theme="3"/>
        <bgColor indexed="64"/>
      </patternFill>
    </fill>
    <fill>
      <patternFill patternType="solid">
        <fgColor theme="3" tint="0.89999084444715716"/>
        <bgColor indexed="64"/>
      </patternFill>
    </fill>
    <fill>
      <patternFill patternType="solid">
        <fgColor theme="0"/>
        <bgColor indexed="64"/>
      </patternFill>
    </fill>
  </fills>
  <borders count="6">
    <border>
      <left/>
      <right/>
      <top/>
      <bottom/>
      <diagonal/>
    </border>
    <border>
      <left style="thin">
        <color theme="0" tint="-4.9989318521683403E-2"/>
      </left>
      <right style="thin">
        <color theme="0" tint="-4.9989318521683403E-2"/>
      </right>
      <top/>
      <bottom/>
      <diagonal/>
    </border>
    <border>
      <left style="thin">
        <color theme="0" tint="-4.9989318521683403E-2"/>
      </left>
      <right style="thin">
        <color theme="0" tint="-4.9989318521683403E-2"/>
      </right>
      <top/>
      <bottom style="thin">
        <color theme="0" tint="-4.9989318521683403E-2"/>
      </bottom>
      <diagonal/>
    </border>
    <border>
      <left style="thin">
        <color theme="2"/>
      </left>
      <right style="thin">
        <color theme="2"/>
      </right>
      <top style="thin">
        <color theme="2"/>
      </top>
      <bottom style="thin">
        <color theme="2"/>
      </bottom>
      <diagonal/>
    </border>
    <border>
      <left style="thin">
        <color auto="1"/>
      </left>
      <right style="thin">
        <color auto="1"/>
      </right>
      <top style="thin">
        <color auto="1"/>
      </top>
      <bottom style="thin">
        <color auto="1"/>
      </bottom>
      <diagonal/>
    </border>
    <border>
      <left style="thin">
        <color theme="2" tint="-9.9917600024414813E-2"/>
      </left>
      <right style="thin">
        <color theme="2" tint="-9.9917600024414813E-2"/>
      </right>
      <top style="thin">
        <color theme="2" tint="-9.9917600024414813E-2"/>
      </top>
      <bottom style="thin">
        <color theme="2" tint="-9.9917600024414813E-2"/>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42" fillId="0" borderId="0" applyNumberFormat="0" applyFill="0" applyBorder="0" applyAlignment="0" applyProtection="0"/>
  </cellStyleXfs>
  <cellXfs count="186">
    <xf numFmtId="0" fontId="0" fillId="0" borderId="0" xfId="0"/>
    <xf numFmtId="0" fontId="3" fillId="0" borderId="0" xfId="0" applyFont="1" applyAlignment="1">
      <alignment horizontal="left" vertical="center"/>
    </xf>
    <xf numFmtId="0" fontId="2" fillId="0" borderId="0" xfId="0" applyFont="1"/>
    <xf numFmtId="0" fontId="4" fillId="0" borderId="0" xfId="0" applyFont="1" applyAlignment="1">
      <alignment horizontal="center" vertical="center"/>
    </xf>
    <xf numFmtId="0" fontId="0" fillId="0" borderId="0" xfId="0" applyAlignment="1">
      <alignment horizontal="center" vertical="center"/>
    </xf>
    <xf numFmtId="0" fontId="5" fillId="0" borderId="0" xfId="0" applyFont="1"/>
    <xf numFmtId="0" fontId="5" fillId="0" borderId="0" xfId="0" applyFont="1" applyAlignment="1">
      <alignment horizontal="center" vertical="center" wrapText="1"/>
    </xf>
    <xf numFmtId="0" fontId="5" fillId="0" borderId="0" xfId="0" applyFont="1" applyAlignment="1">
      <alignment horizontal="center" vertical="center"/>
    </xf>
    <xf numFmtId="0" fontId="3" fillId="0" borderId="0" xfId="0" applyFont="1"/>
    <xf numFmtId="0" fontId="12" fillId="0" borderId="0" xfId="0" applyFont="1"/>
    <xf numFmtId="0" fontId="10" fillId="0" borderId="0" xfId="0" applyFont="1" applyAlignment="1">
      <alignment horizontal="center" vertical="center"/>
    </xf>
    <xf numFmtId="9" fontId="0" fillId="0" borderId="1" xfId="1" applyFont="1" applyBorder="1"/>
    <xf numFmtId="9" fontId="0" fillId="0" borderId="2" xfId="1" applyFont="1" applyBorder="1"/>
    <xf numFmtId="9" fontId="0" fillId="0" borderId="0" xfId="1" applyFont="1"/>
    <xf numFmtId="0" fontId="0" fillId="0" borderId="0" xfId="0" applyAlignment="1">
      <alignment wrapText="1"/>
    </xf>
    <xf numFmtId="0" fontId="0" fillId="0" borderId="0" xfId="0" applyAlignment="1">
      <alignment vertical="center"/>
    </xf>
    <xf numFmtId="0" fontId="6" fillId="2" borderId="3" xfId="0" applyFont="1" applyFill="1" applyBorder="1" applyAlignment="1">
      <alignment horizontal="center" vertical="center" wrapText="1"/>
    </xf>
    <xf numFmtId="0" fontId="6" fillId="2" borderId="3" xfId="0" applyFont="1" applyFill="1" applyBorder="1" applyAlignment="1">
      <alignment horizontal="center" vertical="center"/>
    </xf>
    <xf numFmtId="0" fontId="12" fillId="0" borderId="0" xfId="0" applyFont="1" applyAlignment="1">
      <alignment vertical="top" wrapText="1"/>
    </xf>
    <xf numFmtId="0" fontId="0" fillId="0" borderId="0" xfId="0" applyAlignment="1">
      <alignment vertical="top" wrapText="1"/>
    </xf>
    <xf numFmtId="0" fontId="16" fillId="2" borderId="3" xfId="0" applyFont="1" applyFill="1" applyBorder="1" applyAlignment="1">
      <alignment horizontal="center" vertical="center" wrapText="1"/>
    </xf>
    <xf numFmtId="0" fontId="3" fillId="0" borderId="3" xfId="0" applyFont="1" applyBorder="1" applyAlignment="1">
      <alignment vertical="center" wrapText="1"/>
    </xf>
    <xf numFmtId="0" fontId="16" fillId="2" borderId="3" xfId="0" applyFont="1" applyFill="1" applyBorder="1" applyAlignment="1">
      <alignment vertical="center" wrapText="1"/>
    </xf>
    <xf numFmtId="0" fontId="3" fillId="0" borderId="3" xfId="0" applyFont="1" applyBorder="1" applyAlignment="1">
      <alignment horizontal="left" vertical="center"/>
    </xf>
    <xf numFmtId="0" fontId="16" fillId="2" borderId="3" xfId="0" applyFont="1" applyFill="1" applyBorder="1" applyAlignment="1">
      <alignment horizontal="left" vertical="center" wrapText="1"/>
    </xf>
    <xf numFmtId="0" fontId="4" fillId="0" borderId="3" xfId="0" applyFont="1" applyBorder="1" applyAlignment="1">
      <alignment horizontal="left" vertical="center" wrapText="1"/>
    </xf>
    <xf numFmtId="0" fontId="16" fillId="2" borderId="3" xfId="0" applyFont="1" applyFill="1" applyBorder="1" applyAlignment="1">
      <alignment horizontal="left" vertical="center"/>
    </xf>
    <xf numFmtId="0" fontId="3" fillId="0" borderId="3" xfId="0" applyFont="1" applyBorder="1" applyAlignment="1">
      <alignment horizontal="left" vertical="center" wrapText="1"/>
    </xf>
    <xf numFmtId="0" fontId="3" fillId="3" borderId="0" xfId="0" applyFont="1" applyFill="1" applyAlignment="1">
      <alignment horizontal="left" vertical="top" wrapText="1" indent="1"/>
    </xf>
    <xf numFmtId="3" fontId="3" fillId="0" borderId="3" xfId="0" applyNumberFormat="1" applyFont="1" applyBorder="1" applyAlignment="1">
      <alignment horizontal="center" vertical="center" wrapText="1"/>
    </xf>
    <xf numFmtId="0" fontId="3" fillId="0" borderId="3" xfId="0" applyFont="1" applyBorder="1" applyAlignment="1">
      <alignment horizontal="center" vertical="center" wrapText="1"/>
    </xf>
    <xf numFmtId="3" fontId="16" fillId="2" borderId="3" xfId="0" applyNumberFormat="1" applyFont="1" applyFill="1" applyBorder="1" applyAlignment="1">
      <alignment horizontal="center" vertical="center" wrapText="1"/>
    </xf>
    <xf numFmtId="3" fontId="4" fillId="0" borderId="3" xfId="0" applyNumberFormat="1" applyFont="1" applyBorder="1" applyAlignment="1">
      <alignment horizontal="center" vertical="center" wrapText="1"/>
    </xf>
    <xf numFmtId="0" fontId="18" fillId="0" borderId="0" xfId="0" applyFont="1"/>
    <xf numFmtId="164" fontId="3" fillId="0" borderId="3" xfId="0" applyNumberFormat="1" applyFont="1" applyBorder="1" applyAlignment="1">
      <alignment horizontal="center" vertical="center"/>
    </xf>
    <xf numFmtId="164" fontId="3" fillId="0" borderId="3" xfId="1" applyNumberFormat="1" applyFont="1" applyBorder="1" applyAlignment="1">
      <alignment horizontal="center" vertical="center"/>
    </xf>
    <xf numFmtId="0" fontId="3" fillId="0" borderId="3" xfId="0" applyFont="1" applyBorder="1" applyAlignment="1">
      <alignment horizontal="left" vertical="top" wrapText="1"/>
    </xf>
    <xf numFmtId="0" fontId="19" fillId="0" borderId="0" xfId="0" applyFont="1" applyAlignment="1">
      <alignment horizontal="left" indent="1"/>
    </xf>
    <xf numFmtId="0" fontId="22" fillId="0" borderId="0" xfId="0" applyFont="1" applyAlignment="1">
      <alignment horizontal="left" vertical="top" wrapText="1" indent="1"/>
    </xf>
    <xf numFmtId="0" fontId="10" fillId="0" borderId="0" xfId="0" applyFont="1" applyAlignment="1">
      <alignment vertical="center"/>
    </xf>
    <xf numFmtId="0" fontId="0" fillId="0" borderId="0" xfId="0" applyAlignment="1">
      <alignment horizontal="left" vertical="center" indent="1"/>
    </xf>
    <xf numFmtId="0" fontId="0" fillId="3" borderId="0" xfId="0" applyFill="1" applyAlignment="1">
      <alignment horizontal="left" vertical="top" wrapText="1" indent="1"/>
    </xf>
    <xf numFmtId="0" fontId="11" fillId="3" borderId="0" xfId="0" applyFont="1" applyFill="1" applyAlignment="1">
      <alignment horizontal="left" vertical="top" wrapText="1" indent="1"/>
    </xf>
    <xf numFmtId="0" fontId="3" fillId="3" borderId="0" xfId="0" applyFont="1" applyFill="1" applyAlignment="1">
      <alignment horizontal="left" vertical="center" wrapText="1" indent="1"/>
    </xf>
    <xf numFmtId="0" fontId="23" fillId="0" borderId="0" xfId="0" applyFont="1" applyAlignment="1">
      <alignment horizontal="center" vertical="center"/>
    </xf>
    <xf numFmtId="0" fontId="6" fillId="0" borderId="0" xfId="0" applyFont="1" applyAlignment="1">
      <alignment horizontal="center" vertical="center"/>
    </xf>
    <xf numFmtId="0" fontId="25" fillId="0" borderId="0" xfId="0" applyFont="1"/>
    <xf numFmtId="0" fontId="27" fillId="0" borderId="0" xfId="0" applyFont="1"/>
    <xf numFmtId="0" fontId="28" fillId="0" borderId="0" xfId="0" applyFont="1" applyAlignment="1">
      <alignment horizontal="center" vertical="center"/>
    </xf>
    <xf numFmtId="0" fontId="14" fillId="0" borderId="0" xfId="0" applyFont="1" applyAlignment="1">
      <alignment horizontal="center" vertical="center"/>
    </xf>
    <xf numFmtId="0" fontId="29" fillId="0" borderId="0" xfId="0" applyFont="1" applyAlignment="1">
      <alignment vertical="center"/>
    </xf>
    <xf numFmtId="9" fontId="27" fillId="0" borderId="0" xfId="1" applyFont="1"/>
    <xf numFmtId="0" fontId="28" fillId="0" borderId="0" xfId="0" applyFont="1"/>
    <xf numFmtId="0" fontId="29" fillId="0" borderId="0" xfId="0" applyFont="1" applyAlignment="1">
      <alignment horizontal="center" vertical="center"/>
    </xf>
    <xf numFmtId="0" fontId="17" fillId="0" borderId="0" xfId="0" applyFont="1" applyAlignment="1">
      <alignment horizontal="left" indent="1"/>
    </xf>
    <xf numFmtId="0" fontId="6" fillId="2" borderId="4" xfId="0" applyFont="1" applyFill="1" applyBorder="1" applyAlignment="1">
      <alignment horizontal="center" vertical="center"/>
    </xf>
    <xf numFmtId="0" fontId="3" fillId="0" borderId="4" xfId="0" applyFont="1" applyBorder="1" applyAlignment="1">
      <alignment horizontal="left" vertical="top"/>
    </xf>
    <xf numFmtId="3" fontId="3" fillId="0" borderId="4" xfId="0" applyNumberFormat="1" applyFont="1" applyBorder="1" applyAlignment="1">
      <alignment horizontal="center" vertical="center"/>
    </xf>
    <xf numFmtId="164" fontId="3" fillId="0" borderId="4" xfId="1" applyNumberFormat="1" applyFont="1" applyBorder="1" applyAlignment="1">
      <alignment horizontal="center" vertical="center"/>
    </xf>
    <xf numFmtId="0" fontId="3" fillId="0" borderId="4" xfId="0" applyFont="1" applyBorder="1" applyAlignment="1">
      <alignment horizontal="center" vertical="center"/>
    </xf>
    <xf numFmtId="0" fontId="23" fillId="2" borderId="4" xfId="0" applyFont="1" applyFill="1" applyBorder="1" applyAlignment="1">
      <alignment horizontal="center" vertical="center"/>
    </xf>
    <xf numFmtId="0" fontId="14" fillId="0" borderId="4" xfId="0" applyFont="1" applyBorder="1" applyAlignment="1">
      <alignment horizontal="left" vertical="center"/>
    </xf>
    <xf numFmtId="0" fontId="0" fillId="0" borderId="4" xfId="0" applyBorder="1" applyAlignment="1">
      <alignment horizontal="center" vertical="center"/>
    </xf>
    <xf numFmtId="0" fontId="10" fillId="0" borderId="4" xfId="0" applyFont="1" applyBorder="1" applyAlignment="1">
      <alignment horizontal="center" vertical="center"/>
    </xf>
    <xf numFmtId="0" fontId="10" fillId="0" borderId="4" xfId="0" applyFont="1" applyBorder="1" applyAlignment="1">
      <alignment vertical="center"/>
    </xf>
    <xf numFmtId="0" fontId="3" fillId="0" borderId="4" xfId="0" applyFont="1" applyBorder="1" applyAlignment="1">
      <alignment horizontal="left" vertical="center"/>
    </xf>
    <xf numFmtId="0" fontId="3" fillId="0" borderId="4" xfId="0" applyFont="1" applyBorder="1" applyAlignment="1">
      <alignment horizontal="left" vertical="center" wrapText="1"/>
    </xf>
    <xf numFmtId="0" fontId="4" fillId="0" borderId="4" xfId="0" applyFont="1" applyBorder="1" applyAlignment="1">
      <alignment horizontal="left" vertical="center"/>
    </xf>
    <xf numFmtId="0" fontId="14" fillId="0" borderId="4" xfId="0" applyFont="1" applyBorder="1" applyAlignment="1">
      <alignment vertical="center"/>
    </xf>
    <xf numFmtId="0" fontId="3" fillId="0" borderId="4" xfId="0" applyFont="1" applyBorder="1" applyAlignment="1">
      <alignment vertical="center"/>
    </xf>
    <xf numFmtId="0" fontId="6" fillId="2" borderId="5" xfId="0" applyFont="1" applyFill="1" applyBorder="1" applyAlignment="1">
      <alignment horizontal="center" vertical="center"/>
    </xf>
    <xf numFmtId="9" fontId="6" fillId="2" borderId="5" xfId="1" applyFont="1" applyFill="1" applyBorder="1" applyAlignment="1">
      <alignment horizontal="center" vertical="center"/>
    </xf>
    <xf numFmtId="0" fontId="6" fillId="2" borderId="5" xfId="0" applyFont="1" applyFill="1" applyBorder="1" applyAlignment="1">
      <alignment horizontal="center" vertical="center" wrapText="1"/>
    </xf>
    <xf numFmtId="0" fontId="14" fillId="0" borderId="5" xfId="0" applyFont="1" applyBorder="1" applyAlignment="1">
      <alignment vertical="center"/>
    </xf>
    <xf numFmtId="0" fontId="7" fillId="0" borderId="5" xfId="0" applyFont="1" applyBorder="1"/>
    <xf numFmtId="0" fontId="7" fillId="0" borderId="5" xfId="0" applyFont="1" applyBorder="1" applyAlignment="1">
      <alignment horizontal="center" vertical="center"/>
    </xf>
    <xf numFmtId="9" fontId="7" fillId="0" borderId="5" xfId="1" applyFont="1" applyBorder="1"/>
    <xf numFmtId="0" fontId="0" fillId="0" borderId="5" xfId="0" applyBorder="1" applyAlignment="1">
      <alignment vertical="top" wrapText="1"/>
    </xf>
    <xf numFmtId="0" fontId="7" fillId="0" borderId="5" xfId="0" applyFont="1" applyBorder="1" applyAlignment="1">
      <alignment vertical="center"/>
    </xf>
    <xf numFmtId="3" fontId="7" fillId="0" borderId="5" xfId="0" applyNumberFormat="1" applyFont="1" applyBorder="1" applyAlignment="1">
      <alignment horizontal="center" vertical="center"/>
    </xf>
    <xf numFmtId="164" fontId="7" fillId="0" borderId="5" xfId="1" applyNumberFormat="1" applyFont="1" applyBorder="1" applyAlignment="1">
      <alignment horizontal="center" vertical="center"/>
    </xf>
    <xf numFmtId="0" fontId="3" fillId="0" borderId="5" xfId="0" applyFont="1" applyBorder="1" applyAlignment="1">
      <alignment vertical="top" wrapText="1"/>
    </xf>
    <xf numFmtId="0" fontId="0" fillId="0" borderId="5" xfId="0" applyBorder="1" applyAlignment="1">
      <alignment horizontal="left" vertical="center" wrapText="1"/>
    </xf>
    <xf numFmtId="0" fontId="0" fillId="0" borderId="5" xfId="0" applyBorder="1" applyAlignment="1">
      <alignment vertical="center"/>
    </xf>
    <xf numFmtId="0" fontId="9" fillId="0" borderId="5" xfId="0" applyFont="1" applyBorder="1" applyAlignment="1">
      <alignment vertical="center"/>
    </xf>
    <xf numFmtId="0" fontId="8" fillId="2" borderId="5" xfId="0" applyFont="1" applyFill="1" applyBorder="1" applyAlignment="1">
      <alignment horizontal="left" vertical="center"/>
    </xf>
    <xf numFmtId="3" fontId="8" fillId="2" borderId="5" xfId="0" applyNumberFormat="1" applyFont="1" applyFill="1" applyBorder="1" applyAlignment="1">
      <alignment horizontal="center" vertical="center"/>
    </xf>
    <xf numFmtId="0" fontId="7" fillId="0" borderId="5" xfId="0" applyFont="1" applyBorder="1" applyAlignment="1">
      <alignment horizontal="left" vertical="center" wrapText="1"/>
    </xf>
    <xf numFmtId="0" fontId="14" fillId="4" borderId="5" xfId="0" applyFont="1" applyFill="1" applyBorder="1" applyAlignment="1">
      <alignment horizontal="left" vertical="center"/>
    </xf>
    <xf numFmtId="3" fontId="9" fillId="4" borderId="5" xfId="0" applyNumberFormat="1" applyFont="1" applyFill="1" applyBorder="1" applyAlignment="1">
      <alignment horizontal="center" vertical="center"/>
    </xf>
    <xf numFmtId="0" fontId="9" fillId="4" borderId="5" xfId="0" applyFont="1" applyFill="1" applyBorder="1" applyAlignment="1">
      <alignment horizontal="center" vertical="center"/>
    </xf>
    <xf numFmtId="0" fontId="8" fillId="2" borderId="5" xfId="0" applyFont="1" applyFill="1" applyBorder="1" applyAlignment="1">
      <alignment vertical="center"/>
    </xf>
    <xf numFmtId="3" fontId="13" fillId="2" borderId="5" xfId="0" applyNumberFormat="1" applyFont="1" applyFill="1" applyBorder="1" applyAlignment="1">
      <alignment horizontal="center" vertical="center"/>
    </xf>
    <xf numFmtId="0" fontId="15" fillId="0" borderId="5" xfId="0" applyFont="1" applyBorder="1" applyAlignment="1">
      <alignment vertical="center"/>
    </xf>
    <xf numFmtId="0" fontId="3" fillId="0" borderId="4" xfId="0" applyFont="1" applyBorder="1" applyAlignment="1">
      <alignment horizontal="center" vertical="top"/>
    </xf>
    <xf numFmtId="0" fontId="30" fillId="0" borderId="0" xfId="0" applyFont="1"/>
    <xf numFmtId="0" fontId="31" fillId="0" borderId="0" xfId="0" applyFont="1"/>
    <xf numFmtId="0" fontId="32" fillId="0" borderId="0" xfId="0" applyFont="1" applyAlignment="1">
      <alignment horizontal="center" vertical="center"/>
    </xf>
    <xf numFmtId="0" fontId="16" fillId="2" borderId="4" xfId="0" applyFont="1" applyFill="1" applyBorder="1" applyAlignment="1">
      <alignment horizontal="center" vertical="center"/>
    </xf>
    <xf numFmtId="0" fontId="24" fillId="2" borderId="4" xfId="0" applyFont="1" applyFill="1" applyBorder="1" applyAlignment="1">
      <alignment horizontal="center" vertical="center"/>
    </xf>
    <xf numFmtId="0" fontId="17" fillId="0" borderId="0" xfId="0" applyFont="1" applyAlignment="1">
      <alignment horizontal="left" vertical="center"/>
    </xf>
    <xf numFmtId="0" fontId="11" fillId="0" borderId="0" xfId="0" applyFont="1" applyAlignment="1">
      <alignment horizontal="left" vertical="center"/>
    </xf>
    <xf numFmtId="0" fontId="17" fillId="0" borderId="0" xfId="0" applyFont="1" applyAlignment="1">
      <alignment horizontal="left" vertical="center" indent="1"/>
    </xf>
    <xf numFmtId="0" fontId="4" fillId="0" borderId="0" xfId="0" applyFont="1" applyAlignment="1">
      <alignment horizontal="center" vertical="center" wrapText="1"/>
    </xf>
    <xf numFmtId="0" fontId="16" fillId="2" borderId="0" xfId="0" applyFont="1" applyFill="1" applyAlignment="1">
      <alignment horizontal="center" vertical="center" wrapText="1"/>
    </xf>
    <xf numFmtId="0" fontId="16" fillId="2" borderId="0" xfId="0" applyFont="1" applyFill="1" applyAlignment="1">
      <alignment horizontal="center" vertical="center"/>
    </xf>
    <xf numFmtId="0" fontId="27" fillId="0" borderId="0" xfId="0" applyFont="1" applyAlignment="1">
      <alignment horizontal="center" vertical="center"/>
    </xf>
    <xf numFmtId="0" fontId="14" fillId="0" borderId="0" xfId="0" applyFont="1"/>
    <xf numFmtId="0" fontId="3" fillId="0" borderId="0" xfId="0" applyFont="1" applyAlignment="1">
      <alignment horizontal="center" vertical="center"/>
    </xf>
    <xf numFmtId="164" fontId="3" fillId="0" borderId="0" xfId="1" applyNumberFormat="1" applyFont="1" applyAlignment="1">
      <alignment horizontal="center" vertical="center"/>
    </xf>
    <xf numFmtId="165" fontId="3" fillId="0" borderId="0" xfId="1" applyNumberFormat="1" applyFont="1" applyAlignment="1">
      <alignment horizontal="center" vertical="center"/>
    </xf>
    <xf numFmtId="0" fontId="10" fillId="0" borderId="0" xfId="0" applyFont="1" applyAlignment="1">
      <alignment horizontal="left" vertical="top" wrapText="1"/>
    </xf>
    <xf numFmtId="0" fontId="23" fillId="2" borderId="4" xfId="0" applyFont="1" applyFill="1" applyBorder="1" applyAlignment="1">
      <alignment horizontal="center" vertical="top" wrapText="1"/>
    </xf>
    <xf numFmtId="0" fontId="10" fillId="0" borderId="4" xfId="0" applyFont="1" applyBorder="1" applyAlignment="1">
      <alignment horizontal="left" vertical="top" wrapText="1"/>
    </xf>
    <xf numFmtId="0" fontId="3" fillId="0" borderId="4" xfId="0" applyFont="1" applyBorder="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16" fillId="2" borderId="0" xfId="0" applyFont="1" applyFill="1" applyAlignment="1">
      <alignment horizontal="left" vertical="top" wrapText="1"/>
    </xf>
    <xf numFmtId="0" fontId="4" fillId="0" borderId="4" xfId="0" applyFont="1" applyBorder="1" applyAlignment="1">
      <alignment horizontal="center" vertical="center" wrapText="1"/>
    </xf>
    <xf numFmtId="0" fontId="3" fillId="0" borderId="4" xfId="0" applyFont="1" applyBorder="1" applyAlignment="1">
      <alignment horizontal="center" vertical="center" wrapText="1"/>
    </xf>
    <xf numFmtId="3" fontId="3" fillId="0" borderId="4" xfId="0" applyNumberFormat="1" applyFont="1" applyBorder="1" applyAlignment="1">
      <alignment horizontal="center" wrapText="1"/>
    </xf>
    <xf numFmtId="3" fontId="3" fillId="0" borderId="4" xfId="0" applyNumberFormat="1" applyFont="1" applyBorder="1" applyAlignment="1">
      <alignment horizontal="center" vertical="center" wrapText="1"/>
    </xf>
    <xf numFmtId="0" fontId="33" fillId="0" borderId="0" xfId="0" applyFont="1" applyAlignment="1">
      <alignment vertical="top"/>
    </xf>
    <xf numFmtId="0" fontId="33" fillId="0" borderId="0" xfId="0" applyFont="1" applyAlignment="1">
      <alignment horizontal="left" vertical="top"/>
    </xf>
    <xf numFmtId="164" fontId="3" fillId="0" borderId="4" xfId="0" applyNumberFormat="1" applyFont="1" applyBorder="1" applyAlignment="1">
      <alignment horizontal="center" vertical="center" wrapText="1"/>
    </xf>
    <xf numFmtId="10" fontId="3" fillId="0" borderId="0" xfId="0" applyNumberFormat="1" applyFont="1" applyAlignment="1">
      <alignment horizontal="right" vertical="center" wrapText="1"/>
    </xf>
    <xf numFmtId="0" fontId="3" fillId="0" borderId="0" xfId="0" applyFont="1" applyAlignment="1">
      <alignment horizontal="right" vertical="center" wrapText="1"/>
    </xf>
    <xf numFmtId="0" fontId="34" fillId="0" borderId="0" xfId="0" applyFont="1" applyAlignment="1">
      <alignment horizontal="center" vertical="center"/>
    </xf>
    <xf numFmtId="0" fontId="35" fillId="0" borderId="0" xfId="0" applyFont="1"/>
    <xf numFmtId="0" fontId="25" fillId="0" borderId="0" xfId="0" applyFont="1" applyAlignment="1">
      <alignment horizontal="center" vertical="center" wrapText="1"/>
    </xf>
    <xf numFmtId="0" fontId="0" fillId="0" borderId="0" xfId="0" applyAlignment="1">
      <alignment horizontal="right" vertical="center" wrapText="1"/>
    </xf>
    <xf numFmtId="0" fontId="25" fillId="0" borderId="0" xfId="0" applyFont="1" applyAlignment="1">
      <alignment horizontal="right" vertical="center" wrapText="1"/>
    </xf>
    <xf numFmtId="0" fontId="0" fillId="0" borderId="0" xfId="0" applyAlignment="1">
      <alignment vertical="center" wrapText="1"/>
    </xf>
    <xf numFmtId="0" fontId="36" fillId="0" borderId="0" xfId="0" applyFont="1" applyAlignment="1">
      <alignment vertical="center" wrapText="1"/>
    </xf>
    <xf numFmtId="10" fontId="0" fillId="0" borderId="0" xfId="0" applyNumberFormat="1" applyAlignment="1">
      <alignment horizontal="right" vertical="center" wrapText="1"/>
    </xf>
    <xf numFmtId="0" fontId="0" fillId="0" borderId="0" xfId="0" applyAlignment="1">
      <alignment horizontal="center"/>
    </xf>
    <xf numFmtId="0" fontId="37" fillId="0" borderId="0" xfId="0" applyFont="1" applyAlignment="1">
      <alignment horizontal="center"/>
    </xf>
    <xf numFmtId="2" fontId="3" fillId="0" borderId="4" xfId="0" applyNumberFormat="1" applyFont="1" applyBorder="1" applyAlignment="1">
      <alignment horizontal="right" vertical="center" wrapText="1"/>
    </xf>
    <xf numFmtId="0" fontId="11" fillId="0" borderId="4" xfId="0" applyFont="1" applyBorder="1" applyAlignment="1">
      <alignment vertical="center" wrapText="1"/>
    </xf>
    <xf numFmtId="3" fontId="11" fillId="0" borderId="4" xfId="0" applyNumberFormat="1" applyFont="1" applyBorder="1" applyAlignment="1">
      <alignment horizontal="right" vertical="center" wrapText="1"/>
    </xf>
    <xf numFmtId="0" fontId="39" fillId="0" borderId="0" xfId="0" applyFont="1"/>
    <xf numFmtId="0" fontId="3" fillId="0" borderId="4" xfId="0" applyFont="1" applyBorder="1" applyAlignment="1">
      <alignment vertical="center" wrapText="1"/>
    </xf>
    <xf numFmtId="3" fontId="3" fillId="0" borderId="4" xfId="0" applyNumberFormat="1" applyFont="1" applyBorder="1" applyAlignment="1">
      <alignment horizontal="right" vertical="center" wrapText="1"/>
    </xf>
    <xf numFmtId="164" fontId="3" fillId="0" borderId="4" xfId="1" applyNumberFormat="1" applyFont="1" applyBorder="1" applyAlignment="1">
      <alignment horizontal="right" vertical="center" wrapText="1"/>
    </xf>
    <xf numFmtId="0" fontId="3" fillId="0" borderId="4" xfId="0" applyFont="1" applyBorder="1" applyAlignment="1">
      <alignment horizontal="right" vertical="center" wrapText="1"/>
    </xf>
    <xf numFmtId="166" fontId="3" fillId="0" borderId="4" xfId="1" applyNumberFormat="1" applyFont="1" applyBorder="1" applyAlignment="1">
      <alignment horizontal="right" vertical="center" wrapText="1"/>
    </xf>
    <xf numFmtId="10" fontId="3" fillId="0" borderId="0" xfId="0" applyNumberFormat="1" applyFont="1"/>
    <xf numFmtId="0" fontId="4" fillId="0" borderId="0" xfId="0" applyFont="1"/>
    <xf numFmtId="0" fontId="3" fillId="4" borderId="4" xfId="0" applyFont="1" applyFill="1" applyBorder="1"/>
    <xf numFmtId="0" fontId="3" fillId="4" borderId="4" xfId="0" applyFont="1" applyFill="1" applyBorder="1" applyAlignment="1">
      <alignment horizontal="right"/>
    </xf>
    <xf numFmtId="164" fontId="3" fillId="4" borderId="4" xfId="0" applyNumberFormat="1" applyFont="1" applyFill="1" applyBorder="1" applyAlignment="1">
      <alignment horizontal="right"/>
    </xf>
    <xf numFmtId="8" fontId="3" fillId="0" borderId="4" xfId="0" applyNumberFormat="1" applyFont="1" applyBorder="1" applyAlignment="1">
      <alignment horizontal="right" vertical="center" wrapText="1"/>
    </xf>
    <xf numFmtId="165" fontId="3" fillId="0" borderId="4" xfId="0" applyNumberFormat="1" applyFont="1" applyBorder="1" applyAlignment="1">
      <alignment horizontal="right" vertical="center" wrapText="1"/>
    </xf>
    <xf numFmtId="167" fontId="3" fillId="0" borderId="4" xfId="0" applyNumberFormat="1" applyFont="1" applyBorder="1" applyAlignment="1">
      <alignment horizontal="right" vertical="center" wrapText="1"/>
    </xf>
    <xf numFmtId="0" fontId="4" fillId="0" borderId="4" xfId="0" applyFont="1" applyBorder="1" applyAlignment="1">
      <alignment vertical="center" wrapText="1"/>
    </xf>
    <xf numFmtId="165" fontId="4" fillId="0" borderId="4" xfId="0" applyNumberFormat="1" applyFont="1" applyBorder="1" applyAlignment="1">
      <alignment horizontal="right" vertical="center" wrapText="1"/>
    </xf>
    <xf numFmtId="0" fontId="32" fillId="0" borderId="0" xfId="0" applyFont="1" applyAlignment="1">
      <alignment horizontal="left" vertical="center" wrapText="1"/>
    </xf>
    <xf numFmtId="0" fontId="4" fillId="0" borderId="0" xfId="0" applyFont="1" applyAlignment="1">
      <alignment horizontal="right" vertical="center" wrapText="1"/>
    </xf>
    <xf numFmtId="167" fontId="4" fillId="0" borderId="4" xfId="2" applyNumberFormat="1" applyFont="1" applyBorder="1" applyAlignment="1">
      <alignment horizontal="right" vertical="center" wrapText="1"/>
    </xf>
    <xf numFmtId="164" fontId="4" fillId="0" borderId="4" xfId="1" applyNumberFormat="1" applyFont="1" applyBorder="1" applyAlignment="1">
      <alignment horizontal="right" vertical="center" wrapText="1"/>
    </xf>
    <xf numFmtId="0" fontId="32" fillId="0" borderId="0" xfId="0" applyFont="1"/>
    <xf numFmtId="168" fontId="3" fillId="0" borderId="4" xfId="0" applyNumberFormat="1" applyFont="1" applyBorder="1" applyAlignment="1">
      <alignment horizontal="right" vertical="center" wrapText="1"/>
    </xf>
    <xf numFmtId="0" fontId="3" fillId="0" borderId="0" xfId="0" applyFont="1" applyAlignment="1">
      <alignment wrapText="1"/>
    </xf>
    <xf numFmtId="0" fontId="38" fillId="0" borderId="0" xfId="0" applyFont="1" applyAlignment="1">
      <alignment vertical="center"/>
    </xf>
    <xf numFmtId="0" fontId="40" fillId="0" borderId="0" xfId="0" applyFont="1"/>
    <xf numFmtId="0" fontId="33" fillId="0" borderId="0" xfId="0" applyFont="1" applyAlignment="1">
      <alignment vertical="center"/>
    </xf>
    <xf numFmtId="0" fontId="3" fillId="0" borderId="0" xfId="0" applyFont="1" applyAlignment="1">
      <alignment vertical="center" wrapText="1"/>
    </xf>
    <xf numFmtId="168" fontId="3" fillId="0" borderId="0" xfId="0" applyNumberFormat="1" applyFont="1" applyAlignment="1">
      <alignment horizontal="right" vertical="center" wrapText="1"/>
    </xf>
    <xf numFmtId="0" fontId="4" fillId="0" borderId="4" xfId="0" applyFont="1" applyBorder="1" applyAlignment="1">
      <alignment horizontal="center" vertical="center"/>
    </xf>
    <xf numFmtId="168" fontId="3" fillId="0" borderId="4" xfId="0" applyNumberFormat="1" applyFont="1" applyBorder="1"/>
    <xf numFmtId="0" fontId="41" fillId="0" borderId="0" xfId="0" applyFont="1"/>
    <xf numFmtId="0" fontId="14" fillId="0" borderId="4" xfId="0" applyFont="1" applyBorder="1" applyAlignment="1">
      <alignment horizontal="center" vertical="center" wrapText="1"/>
    </xf>
    <xf numFmtId="0" fontId="42" fillId="0" borderId="4" xfId="3" applyBorder="1" applyAlignment="1">
      <alignment vertical="center" wrapText="1"/>
    </xf>
    <xf numFmtId="0" fontId="17" fillId="0" borderId="0" xfId="0" applyFont="1" applyAlignment="1">
      <alignment horizontal="center" vertical="center"/>
    </xf>
    <xf numFmtId="0" fontId="43" fillId="0" borderId="0" xfId="0" applyFont="1" applyAlignment="1">
      <alignment horizontal="center" vertical="center"/>
    </xf>
    <xf numFmtId="0" fontId="44" fillId="0" borderId="0" xfId="0" applyFont="1" applyAlignment="1">
      <alignment horizontal="center" vertical="center"/>
    </xf>
    <xf numFmtId="0" fontId="10" fillId="0" borderId="0" xfId="0" applyFont="1"/>
    <xf numFmtId="0" fontId="28" fillId="0" borderId="0" xfId="0" applyFont="1" applyAlignment="1">
      <alignment horizontal="center"/>
    </xf>
    <xf numFmtId="0" fontId="12" fillId="0" borderId="0" xfId="0" applyFont="1" applyAlignment="1">
      <alignment horizontal="center"/>
    </xf>
    <xf numFmtId="0" fontId="45" fillId="0" borderId="0" xfId="0" applyFont="1" applyAlignment="1">
      <alignment horizontal="center"/>
    </xf>
    <xf numFmtId="0" fontId="27" fillId="0" borderId="0" xfId="0" applyFont="1" applyAlignment="1">
      <alignment horizontal="center"/>
    </xf>
    <xf numFmtId="0" fontId="0" fillId="0" borderId="0" xfId="0" applyFont="1"/>
    <xf numFmtId="0" fontId="3" fillId="0" borderId="0" xfId="0" applyFont="1" applyAlignment="1">
      <alignment vertical="center"/>
    </xf>
    <xf numFmtId="0" fontId="17" fillId="0" borderId="4" xfId="0" applyFont="1" applyBorder="1" applyAlignment="1">
      <alignment horizontal="center" vertical="center" wrapText="1"/>
    </xf>
    <xf numFmtId="0" fontId="17" fillId="0" borderId="0" xfId="0" applyFont="1"/>
    <xf numFmtId="0" fontId="17" fillId="4" borderId="4" xfId="0" applyFont="1" applyFill="1" applyBorder="1" applyAlignment="1">
      <alignment horizontal="center"/>
    </xf>
  </cellXfs>
  <cellStyles count="4">
    <cellStyle name="Currency" xfId="2" builtinId="4"/>
    <cellStyle name="Hyperlink" xfId="3" builtinId="8"/>
    <cellStyle name="Normal" xfId="0" builtinId="0"/>
    <cellStyle name="Percent" xfId="1" builtinId="5"/>
  </cellStyles>
  <dxfs count="0"/>
  <tableStyles count="0" defaultTableStyle="TableStyleMedium2" defaultPivotStyle="PivotStyleLight16"/>
  <colors>
    <mruColors>
      <color rgb="FF447254"/>
      <color rgb="FFF8F8F8"/>
      <color rgb="FF2A466E"/>
      <color rgb="FF000000"/>
      <color rgb="FF006600"/>
      <color rgb="FF008000"/>
      <color rgb="FF808080"/>
      <color rgb="FFDCDCDC"/>
      <color rgb="FF4C7853"/>
      <color rgb="FF1F3A5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300" b="0" i="0" u="none" strike="noStrike" kern="1200" cap="none" spc="0" baseline="0">
                <a:ln w="0"/>
                <a:solidFill>
                  <a:srgbClr val="000000"/>
                </a:solidFill>
                <a:effectLst>
                  <a:outerShdw dist="19050" sx="1000" sy="1000" algn="tl" rotWithShape="0">
                    <a:srgbClr val="000000"/>
                  </a:outerShdw>
                </a:effectLst>
                <a:latin typeface="Arial Nova" panose="020B0504020202020204" pitchFamily="34" charset="0"/>
                <a:ea typeface="+mn-ea"/>
                <a:cs typeface="+mn-cs"/>
              </a:defRPr>
            </a:pPr>
            <a:r>
              <a:rPr lang="en-US" sz="1300" b="0" i="0" u="none" strike="noStrike" cap="none" baseline="0">
                <a:solidFill>
                  <a:srgbClr val="000000"/>
                </a:solidFill>
                <a:effectLst>
                  <a:outerShdw dist="19050" sx="1000" sy="1000" algn="tl" rotWithShape="0">
                    <a:srgbClr val="000000"/>
                  </a:outerShdw>
                </a:effectLst>
                <a:latin typeface="Arial Nova" panose="020B0504020202020204" pitchFamily="34" charset="0"/>
              </a:rPr>
              <a:t>Revenue &amp; Net Income Trend</a:t>
            </a:r>
            <a:endParaRPr lang="en-US" sz="1300" b="0" cap="none" spc="0">
              <a:ln w="0"/>
              <a:solidFill>
                <a:srgbClr val="000000"/>
              </a:solidFill>
              <a:effectLst>
                <a:outerShdw dist="19050" sx="1000" sy="1000" algn="tl" rotWithShape="0">
                  <a:srgbClr val="000000"/>
                </a:outerShdw>
              </a:effectLst>
              <a:latin typeface="Arial Nova" panose="020B0504020202020204" pitchFamily="34" charset="0"/>
            </a:endParaRPr>
          </a:p>
        </c:rich>
      </c:tx>
      <c:layout>
        <c:manualLayout>
          <c:xMode val="edge"/>
          <c:yMode val="edge"/>
          <c:x val="0.26045964819273204"/>
          <c:y val="3.5055052994643954E-2"/>
        </c:manualLayout>
      </c:layout>
      <c:overlay val="0"/>
      <c:spPr>
        <a:noFill/>
        <a:ln>
          <a:solidFill>
            <a:schemeClr val="bg1"/>
          </a:solidFill>
        </a:ln>
        <a:effectLst/>
      </c:spPr>
      <c:txPr>
        <a:bodyPr rot="0" spcFirstLastPara="1" vertOverflow="ellipsis" vert="horz" wrap="square" anchor="ctr" anchorCtr="1"/>
        <a:lstStyle/>
        <a:p>
          <a:pPr>
            <a:defRPr sz="1300" b="0" i="0" u="none" strike="noStrike" kern="1200" cap="none" spc="0" baseline="0">
              <a:ln w="0"/>
              <a:solidFill>
                <a:srgbClr val="000000"/>
              </a:solidFill>
              <a:effectLst>
                <a:outerShdw dist="19050" sx="1000" sy="1000" algn="tl" rotWithShape="0">
                  <a:srgbClr val="000000"/>
                </a:outerShdw>
              </a:effectLst>
              <a:latin typeface="Arial Nova" panose="020B0504020202020204" pitchFamily="34" charset="0"/>
              <a:ea typeface="+mn-ea"/>
              <a:cs typeface="+mn-cs"/>
            </a:defRPr>
          </a:pPr>
          <a:endParaRPr lang="en-US"/>
        </a:p>
      </c:txPr>
    </c:title>
    <c:autoTitleDeleted val="0"/>
    <c:plotArea>
      <c:layout/>
      <c:barChart>
        <c:barDir val="col"/>
        <c:grouping val="clustered"/>
        <c:varyColors val="0"/>
        <c:ser>
          <c:idx val="0"/>
          <c:order val="0"/>
          <c:tx>
            <c:strRef>
              <c:f>'Financial Charts'!$B$7</c:f>
              <c:strCache>
                <c:ptCount val="1"/>
                <c:pt idx="0">
                  <c:v>Revenue</c:v>
                </c:pt>
              </c:strCache>
            </c:strRef>
          </c:tx>
          <c:spPr>
            <a:solidFill>
              <a:srgbClr val="2A466E"/>
            </a:solidFill>
            <a:ln>
              <a:noFill/>
            </a:ln>
            <a:effectLst/>
          </c:spPr>
          <c:invertIfNegative val="0"/>
          <c:cat>
            <c:numRef>
              <c:f>'Financial Charts'!$A$8:$A$10</c:f>
              <c:numCache>
                <c:formatCode>General</c:formatCode>
                <c:ptCount val="3"/>
                <c:pt idx="0">
                  <c:v>2023</c:v>
                </c:pt>
                <c:pt idx="1">
                  <c:v>2024</c:v>
                </c:pt>
                <c:pt idx="2">
                  <c:v>2025</c:v>
                </c:pt>
              </c:numCache>
            </c:numRef>
          </c:cat>
          <c:val>
            <c:numRef>
              <c:f>'Financial Charts'!$B$8:$B$10</c:f>
              <c:numCache>
                <c:formatCode>#,##0</c:formatCode>
                <c:ptCount val="3"/>
                <c:pt idx="0">
                  <c:v>17859</c:v>
                </c:pt>
                <c:pt idx="1">
                  <c:v>20407</c:v>
                </c:pt>
                <c:pt idx="2">
                  <c:v>24216</c:v>
                </c:pt>
              </c:numCache>
            </c:numRef>
          </c:val>
          <c:extLst>
            <c:ext xmlns:c16="http://schemas.microsoft.com/office/drawing/2014/chart" uri="{C3380CC4-5D6E-409C-BE32-E72D297353CC}">
              <c16:uniqueId val="{00000000-1417-4B1F-8DFE-D590323B7486}"/>
            </c:ext>
          </c:extLst>
        </c:ser>
        <c:dLbls>
          <c:showLegendKey val="0"/>
          <c:showVal val="0"/>
          <c:showCatName val="0"/>
          <c:showSerName val="0"/>
          <c:showPercent val="0"/>
          <c:showBubbleSize val="0"/>
        </c:dLbls>
        <c:gapWidth val="139"/>
        <c:axId val="207520256"/>
        <c:axId val="186860016"/>
      </c:barChart>
      <c:lineChart>
        <c:grouping val="standard"/>
        <c:varyColors val="0"/>
        <c:ser>
          <c:idx val="1"/>
          <c:order val="1"/>
          <c:tx>
            <c:strRef>
              <c:f>'Financial Charts'!$C$7</c:f>
              <c:strCache>
                <c:ptCount val="1"/>
                <c:pt idx="0">
                  <c:v>Net Income</c:v>
                </c:pt>
              </c:strCache>
            </c:strRef>
          </c:tx>
          <c:spPr>
            <a:ln w="31750" cap="rnd">
              <a:solidFill>
                <a:srgbClr val="447254"/>
              </a:solidFill>
              <a:round/>
            </a:ln>
            <a:effectLst/>
          </c:spPr>
          <c:marker>
            <c:symbol val="circle"/>
            <c:size val="6"/>
            <c:spPr>
              <a:solidFill>
                <a:srgbClr val="447254"/>
              </a:solidFill>
              <a:ln w="9525">
                <a:solidFill>
                  <a:srgbClr val="447254"/>
                </a:solidFill>
              </a:ln>
              <a:effectLst/>
            </c:spPr>
          </c:marker>
          <c:cat>
            <c:numRef>
              <c:f>'Financial Charts'!$A$8:$A$10</c:f>
              <c:numCache>
                <c:formatCode>General</c:formatCode>
                <c:ptCount val="3"/>
                <c:pt idx="0">
                  <c:v>2023</c:v>
                </c:pt>
                <c:pt idx="1">
                  <c:v>2024</c:v>
                </c:pt>
                <c:pt idx="2">
                  <c:v>2025</c:v>
                </c:pt>
              </c:numCache>
            </c:numRef>
          </c:cat>
          <c:val>
            <c:numRef>
              <c:f>'Financial Charts'!$C$8:$C$10</c:f>
              <c:numCache>
                <c:formatCode>#,##0</c:formatCode>
                <c:ptCount val="3"/>
                <c:pt idx="0">
                  <c:v>5676</c:v>
                </c:pt>
                <c:pt idx="1">
                  <c:v>6512</c:v>
                </c:pt>
                <c:pt idx="2">
                  <c:v>5942</c:v>
                </c:pt>
              </c:numCache>
            </c:numRef>
          </c:val>
          <c:smooth val="0"/>
          <c:extLst>
            <c:ext xmlns:c16="http://schemas.microsoft.com/office/drawing/2014/chart" uri="{C3380CC4-5D6E-409C-BE32-E72D297353CC}">
              <c16:uniqueId val="{00000001-1417-4B1F-8DFE-D590323B7486}"/>
            </c:ext>
          </c:extLst>
        </c:ser>
        <c:dLbls>
          <c:showLegendKey val="0"/>
          <c:showVal val="0"/>
          <c:showCatName val="0"/>
          <c:showSerName val="0"/>
          <c:showPercent val="0"/>
          <c:showBubbleSize val="0"/>
        </c:dLbls>
        <c:marker val="1"/>
        <c:smooth val="0"/>
        <c:axId val="2091173200"/>
        <c:axId val="186835056"/>
      </c:lineChart>
      <c:catAx>
        <c:axId val="207520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none" spc="0" baseline="0">
                <a:ln w="0"/>
                <a:solidFill>
                  <a:schemeClr val="tx1"/>
                </a:solidFill>
                <a:effectLst>
                  <a:outerShdw dist="19050" sx="1000" sy="1000" algn="tl" rotWithShape="0">
                    <a:schemeClr val="dk1"/>
                  </a:outerShdw>
                </a:effectLst>
                <a:latin typeface="Arial Nova" panose="020B0504020202020204" pitchFamily="34" charset="0"/>
                <a:ea typeface="+mn-ea"/>
                <a:cs typeface="+mn-cs"/>
              </a:defRPr>
            </a:pPr>
            <a:endParaRPr lang="en-US"/>
          </a:p>
        </c:txPr>
        <c:crossAx val="186860016"/>
        <c:crosses val="autoZero"/>
        <c:auto val="1"/>
        <c:lblAlgn val="ctr"/>
        <c:lblOffset val="100"/>
        <c:noMultiLvlLbl val="0"/>
      </c:catAx>
      <c:valAx>
        <c:axId val="186860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cap="none" spc="0" baseline="0">
                <a:ln w="0"/>
                <a:solidFill>
                  <a:schemeClr val="tx1"/>
                </a:solidFill>
                <a:effectLst>
                  <a:outerShdw dist="19050" sx="1000" sy="1000" algn="tl" rotWithShape="0">
                    <a:schemeClr val="dk1"/>
                  </a:outerShdw>
                </a:effectLst>
                <a:latin typeface="Arial Nova" panose="020B0504020202020204" pitchFamily="34" charset="0"/>
                <a:ea typeface="+mn-ea"/>
                <a:cs typeface="+mn-cs"/>
              </a:defRPr>
            </a:pPr>
            <a:endParaRPr lang="en-US"/>
          </a:p>
        </c:txPr>
        <c:crossAx val="207520256"/>
        <c:crosses val="autoZero"/>
        <c:crossBetween val="between"/>
      </c:valAx>
      <c:valAx>
        <c:axId val="186835056"/>
        <c:scaling>
          <c:orientation val="minMax"/>
        </c:scaling>
        <c:delete val="0"/>
        <c:axPos val="r"/>
        <c:numFmt formatCode="#,##0" sourceLinked="1"/>
        <c:majorTickMark val="out"/>
        <c:minorTickMark val="none"/>
        <c:tickLblPos val="none"/>
        <c:spPr>
          <a:noFill/>
          <a:ln>
            <a:solidFill>
              <a:schemeClr val="bg2">
                <a:lumMod val="25000"/>
              </a:schemeClr>
            </a:solidFill>
          </a:ln>
          <a:effectLst/>
        </c:spPr>
        <c:txPr>
          <a:bodyPr rot="-60000000" spcFirstLastPara="1" vertOverflow="ellipsis" vert="horz" wrap="square" anchor="ctr" anchorCtr="1"/>
          <a:lstStyle/>
          <a:p>
            <a:pPr>
              <a:defRPr sz="900" b="0" i="0" u="none" strike="noStrike" kern="1200" cap="none" spc="0" baseline="0">
                <a:ln w="0"/>
                <a:solidFill>
                  <a:schemeClr val="bg2">
                    <a:lumMod val="90000"/>
                  </a:schemeClr>
                </a:solidFill>
                <a:effectLst>
                  <a:outerShdw blurRad="38100" dist="19050" dir="2700000" algn="tl" rotWithShape="0">
                    <a:schemeClr val="dk1">
                      <a:alpha val="40000"/>
                    </a:schemeClr>
                  </a:outerShdw>
                </a:effectLst>
                <a:latin typeface="+mn-lt"/>
                <a:ea typeface="+mn-ea"/>
                <a:cs typeface="+mn-cs"/>
              </a:defRPr>
            </a:pPr>
            <a:endParaRPr lang="en-US"/>
          </a:p>
        </c:txPr>
        <c:crossAx val="2091173200"/>
        <c:crosses val="max"/>
        <c:crossBetween val="between"/>
      </c:valAx>
      <c:catAx>
        <c:axId val="2091173200"/>
        <c:scaling>
          <c:orientation val="minMax"/>
        </c:scaling>
        <c:delete val="1"/>
        <c:axPos val="b"/>
        <c:numFmt formatCode="General" sourceLinked="1"/>
        <c:majorTickMark val="out"/>
        <c:minorTickMark val="none"/>
        <c:tickLblPos val="nextTo"/>
        <c:crossAx val="186835056"/>
        <c:crosses val="autoZero"/>
        <c:auto val="1"/>
        <c:lblAlgn val="ctr"/>
        <c:lblOffset val="100"/>
        <c:noMultiLvlLbl val="0"/>
      </c:catAx>
      <c:spPr>
        <a:noFill/>
        <a:ln>
          <a:noFill/>
        </a:ln>
        <a:effectLst/>
      </c:spPr>
    </c:plotArea>
    <c:legend>
      <c:legendPos val="b"/>
      <c:layout>
        <c:manualLayout>
          <c:xMode val="edge"/>
          <c:yMode val="edge"/>
          <c:x val="0.30009244394758811"/>
          <c:y val="0.88165179581654085"/>
          <c:w val="0.30328498039321777"/>
          <c:h val="6.8665635633398253E-2"/>
        </c:manualLayout>
      </c:layout>
      <c:overlay val="0"/>
      <c:spPr>
        <a:noFill/>
        <a:ln>
          <a:noFill/>
        </a:ln>
        <a:effectLst/>
      </c:spPr>
      <c:txPr>
        <a:bodyPr rot="0" spcFirstLastPara="1" vertOverflow="ellipsis" vert="horz" wrap="square" anchor="ctr" anchorCtr="1"/>
        <a:lstStyle/>
        <a:p>
          <a:pPr>
            <a:defRPr sz="800" b="0" i="0" u="none" strike="noStrike" kern="1200" cap="none" spc="0" baseline="0">
              <a:ln w="0"/>
              <a:solidFill>
                <a:schemeClr val="tx1"/>
              </a:solidFill>
              <a:effectLst>
                <a:outerShdw dist="19050" sx="1000" sy="1000" algn="tl" rotWithShape="0">
                  <a:schemeClr val="dk1"/>
                </a:outerShdw>
              </a:effectLst>
              <a:latin typeface="Arial Nova" panose="020B0504020202020204" pitchFamily="34" charset="0"/>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b="0" cap="none" spc="0">
          <a:ln w="0"/>
          <a:solidFill>
            <a:schemeClr val="accent1"/>
          </a:solidFill>
          <a:effectLst>
            <a:outerShdw blurRad="38100" dist="25400" dir="5400000" algn="ctr" rotWithShape="0">
              <a:srgbClr val="6E747A">
                <a:alpha val="43000"/>
              </a:srgbClr>
            </a:outerShdw>
          </a:effectLst>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0" i="0" u="none" strike="noStrike" kern="1200" cap="none" spc="0" baseline="0">
                <a:ln w="0"/>
                <a:solidFill>
                  <a:schemeClr val="tx1"/>
                </a:solidFill>
                <a:effectLst>
                  <a:outerShdw dist="19050" sx="1000" sy="1000" algn="tl" rotWithShape="0">
                    <a:schemeClr val="dk1"/>
                  </a:outerShdw>
                </a:effectLst>
                <a:latin typeface="Arial Nova" panose="020B0504020202020204" pitchFamily="34" charset="0"/>
                <a:ea typeface="+mn-ea"/>
                <a:cs typeface="+mn-cs"/>
              </a:defRPr>
            </a:pPr>
            <a:r>
              <a:rPr lang="en-US" sz="1300" b="0" i="0" u="none" strike="noStrike" cap="none" spc="0" baseline="0">
                <a:ln w="0"/>
                <a:solidFill>
                  <a:schemeClr val="tx1"/>
                </a:solidFill>
                <a:effectLst>
                  <a:outerShdw dist="19050" sx="1000" sy="1000" algn="tl" rotWithShape="0">
                    <a:schemeClr val="dk1"/>
                  </a:outerShdw>
                </a:effectLst>
                <a:latin typeface="Arial Nova" panose="020B0504020202020204" pitchFamily="34" charset="0"/>
              </a:rPr>
              <a:t>Balance Sheet Composition</a:t>
            </a:r>
            <a:endParaRPr lang="en-US" sz="1300" b="0" cap="none" spc="0">
              <a:ln w="0"/>
              <a:solidFill>
                <a:schemeClr val="tx1"/>
              </a:solidFill>
              <a:effectLst>
                <a:outerShdw dist="19050" sx="1000" sy="1000" algn="tl" rotWithShape="0">
                  <a:schemeClr val="dk1"/>
                </a:outerShdw>
              </a:effectLst>
              <a:latin typeface="Arial Nova" panose="020B0504020202020204" pitchFamily="34" charset="0"/>
            </a:endParaRPr>
          </a:p>
        </c:rich>
      </c:tx>
      <c:overlay val="0"/>
      <c:spPr>
        <a:noFill/>
        <a:ln>
          <a:noFill/>
        </a:ln>
        <a:effectLst/>
      </c:spPr>
      <c:txPr>
        <a:bodyPr rot="0" spcFirstLastPara="1" vertOverflow="ellipsis" vert="horz" wrap="square" anchor="ctr" anchorCtr="1"/>
        <a:lstStyle/>
        <a:p>
          <a:pPr>
            <a:defRPr sz="1300" b="0" i="0" u="none" strike="noStrike" kern="1200" cap="none" spc="0" baseline="0">
              <a:ln w="0"/>
              <a:solidFill>
                <a:schemeClr val="tx1"/>
              </a:solidFill>
              <a:effectLst>
                <a:outerShdw dist="19050" sx="1000" sy="1000" algn="tl" rotWithShape="0">
                  <a:schemeClr val="dk1"/>
                </a:outerShdw>
              </a:effectLst>
              <a:latin typeface="Arial Nova" panose="020B0504020202020204" pitchFamily="34" charset="0"/>
              <a:ea typeface="+mn-ea"/>
              <a:cs typeface="+mn-cs"/>
            </a:defRPr>
          </a:pPr>
          <a:endParaRPr lang="en-US"/>
        </a:p>
      </c:txPr>
    </c:title>
    <c:autoTitleDeleted val="0"/>
    <c:plotArea>
      <c:layout/>
      <c:barChart>
        <c:barDir val="col"/>
        <c:grouping val="clustered"/>
        <c:varyColors val="0"/>
        <c:ser>
          <c:idx val="0"/>
          <c:order val="0"/>
          <c:tx>
            <c:strRef>
              <c:f>'Financial Charts'!$P$7</c:f>
              <c:strCache>
                <c:ptCount val="1"/>
                <c:pt idx="0">
                  <c:v>Total Assets</c:v>
                </c:pt>
              </c:strCache>
            </c:strRef>
          </c:tx>
          <c:spPr>
            <a:solidFill>
              <a:srgbClr val="2A466E"/>
            </a:solidFill>
            <a:ln>
              <a:solidFill>
                <a:srgbClr val="2A466E"/>
              </a:solidFill>
            </a:ln>
            <a:effectLst/>
          </c:spPr>
          <c:invertIfNegative val="0"/>
          <c:cat>
            <c:numRef>
              <c:f>'Financial Charts'!$O$8:$O$10</c:f>
              <c:numCache>
                <c:formatCode>General</c:formatCode>
                <c:ptCount val="3"/>
                <c:pt idx="0">
                  <c:v>2023</c:v>
                </c:pt>
                <c:pt idx="1">
                  <c:v>2024</c:v>
                </c:pt>
                <c:pt idx="2">
                  <c:v>2025</c:v>
                </c:pt>
              </c:numCache>
            </c:numRef>
          </c:cat>
          <c:val>
            <c:numRef>
              <c:f>'Financial Charts'!$P$8:$P$10</c:f>
              <c:numCache>
                <c:formatCode>#,##0</c:formatCode>
                <c:ptCount val="3"/>
                <c:pt idx="0">
                  <c:v>123211</c:v>
                </c:pt>
                <c:pt idx="1">
                  <c:v>138615</c:v>
                </c:pt>
                <c:pt idx="2">
                  <c:v>169998</c:v>
                </c:pt>
              </c:numCache>
            </c:numRef>
          </c:val>
          <c:extLst>
            <c:ext xmlns:c16="http://schemas.microsoft.com/office/drawing/2014/chart" uri="{C3380CC4-5D6E-409C-BE32-E72D297353CC}">
              <c16:uniqueId val="{00000000-C7AE-44FE-89B5-BE57D39F7920}"/>
            </c:ext>
          </c:extLst>
        </c:ser>
        <c:ser>
          <c:idx val="1"/>
          <c:order val="1"/>
          <c:tx>
            <c:strRef>
              <c:f>'Financial Charts'!$Q$7</c:f>
              <c:strCache>
                <c:ptCount val="1"/>
                <c:pt idx="0">
                  <c:v>Total Liabilities</c:v>
                </c:pt>
              </c:strCache>
            </c:strRef>
          </c:tx>
          <c:spPr>
            <a:solidFill>
              <a:schemeClr val="bg2">
                <a:lumMod val="50000"/>
              </a:schemeClr>
            </a:solidFill>
            <a:ln>
              <a:noFill/>
            </a:ln>
            <a:effectLst/>
          </c:spPr>
          <c:invertIfNegative val="0"/>
          <c:cat>
            <c:numRef>
              <c:f>'Financial Charts'!$O$8:$O$10</c:f>
              <c:numCache>
                <c:formatCode>General</c:formatCode>
                <c:ptCount val="3"/>
                <c:pt idx="0">
                  <c:v>2023</c:v>
                </c:pt>
                <c:pt idx="1">
                  <c:v>2024</c:v>
                </c:pt>
                <c:pt idx="2">
                  <c:v>2025</c:v>
                </c:pt>
              </c:numCache>
            </c:numRef>
          </c:cat>
          <c:val>
            <c:numRef>
              <c:f>'Financial Charts'!$Q$8:$Q$10</c:f>
              <c:numCache>
                <c:formatCode>#,##0</c:formatCode>
                <c:ptCount val="3"/>
                <c:pt idx="0">
                  <c:v>81971</c:v>
                </c:pt>
                <c:pt idx="1">
                  <c:v>89260</c:v>
                </c:pt>
                <c:pt idx="2">
                  <c:v>108456</c:v>
                </c:pt>
              </c:numCache>
            </c:numRef>
          </c:val>
          <c:extLst>
            <c:ext xmlns:c16="http://schemas.microsoft.com/office/drawing/2014/chart" uri="{C3380CC4-5D6E-409C-BE32-E72D297353CC}">
              <c16:uniqueId val="{00000001-C7AE-44FE-89B5-BE57D39F7920}"/>
            </c:ext>
          </c:extLst>
        </c:ser>
        <c:ser>
          <c:idx val="2"/>
          <c:order val="2"/>
          <c:tx>
            <c:strRef>
              <c:f>'Financial Charts'!$R$7</c:f>
              <c:strCache>
                <c:ptCount val="1"/>
                <c:pt idx="0">
                  <c:v>Total Equity</c:v>
                </c:pt>
              </c:strCache>
            </c:strRef>
          </c:tx>
          <c:spPr>
            <a:solidFill>
              <a:srgbClr val="4C7853"/>
            </a:solidFill>
            <a:ln>
              <a:noFill/>
            </a:ln>
            <a:effectLst/>
          </c:spPr>
          <c:invertIfNegative val="0"/>
          <c:cat>
            <c:numRef>
              <c:f>'Financial Charts'!$O$8:$O$10</c:f>
              <c:numCache>
                <c:formatCode>General</c:formatCode>
                <c:ptCount val="3"/>
                <c:pt idx="0">
                  <c:v>2023</c:v>
                </c:pt>
                <c:pt idx="1">
                  <c:v>2024</c:v>
                </c:pt>
                <c:pt idx="2">
                  <c:v>2025</c:v>
                </c:pt>
              </c:numCache>
            </c:numRef>
          </c:cat>
          <c:val>
            <c:numRef>
              <c:f>'Financial Charts'!$R$8:$R$10</c:f>
              <c:numCache>
                <c:formatCode>#,##0</c:formatCode>
                <c:ptCount val="3"/>
                <c:pt idx="0">
                  <c:v>39500</c:v>
                </c:pt>
                <c:pt idx="1">
                  <c:v>47664</c:v>
                </c:pt>
                <c:pt idx="2">
                  <c:v>56115</c:v>
                </c:pt>
              </c:numCache>
            </c:numRef>
          </c:val>
          <c:extLst>
            <c:ext xmlns:c16="http://schemas.microsoft.com/office/drawing/2014/chart" uri="{C3380CC4-5D6E-409C-BE32-E72D297353CC}">
              <c16:uniqueId val="{00000002-C7AE-44FE-89B5-BE57D39F7920}"/>
            </c:ext>
          </c:extLst>
        </c:ser>
        <c:dLbls>
          <c:showLegendKey val="0"/>
          <c:showVal val="0"/>
          <c:showCatName val="0"/>
          <c:showSerName val="0"/>
          <c:showPercent val="0"/>
          <c:showBubbleSize val="0"/>
        </c:dLbls>
        <c:gapWidth val="70"/>
        <c:overlap val="-27"/>
        <c:axId val="1778133600"/>
        <c:axId val="186815376"/>
      </c:barChart>
      <c:catAx>
        <c:axId val="1778133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none" spc="0" baseline="0">
                <a:ln w="0"/>
                <a:solidFill>
                  <a:schemeClr val="tx1"/>
                </a:solidFill>
                <a:effectLst>
                  <a:outerShdw dist="19050" sx="1000" sy="1000" algn="tl" rotWithShape="0">
                    <a:schemeClr val="dk1"/>
                  </a:outerShdw>
                </a:effectLst>
                <a:latin typeface="Arial Nova" panose="020B0504020202020204" pitchFamily="34" charset="0"/>
                <a:ea typeface="+mn-ea"/>
                <a:cs typeface="+mn-cs"/>
              </a:defRPr>
            </a:pPr>
            <a:endParaRPr lang="en-US"/>
          </a:p>
        </c:txPr>
        <c:crossAx val="186815376"/>
        <c:crosses val="autoZero"/>
        <c:auto val="1"/>
        <c:lblAlgn val="ctr"/>
        <c:lblOffset val="100"/>
        <c:noMultiLvlLbl val="0"/>
      </c:catAx>
      <c:valAx>
        <c:axId val="186815376"/>
        <c:scaling>
          <c:orientation val="minMax"/>
        </c:scaling>
        <c:delete val="0"/>
        <c:axPos val="l"/>
        <c:majorGridlines>
          <c:spPr>
            <a:ln w="9525" cap="flat" cmpd="sng" algn="ctr">
              <a:solidFill>
                <a:srgbClr val="DCDCDC">
                  <a:alpha val="74902"/>
                </a:srgb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cap="none" spc="0" baseline="0">
                <a:ln w="0"/>
                <a:solidFill>
                  <a:schemeClr val="tx1"/>
                </a:solidFill>
                <a:effectLst>
                  <a:outerShdw dist="19050" sx="1000" sy="1000" algn="tl" rotWithShape="0">
                    <a:schemeClr val="dk1"/>
                  </a:outerShdw>
                </a:effectLst>
                <a:latin typeface="Arial Nova" panose="020B0504020202020204" pitchFamily="34" charset="0"/>
                <a:ea typeface="+mn-ea"/>
                <a:cs typeface="+mn-cs"/>
              </a:defRPr>
            </a:pPr>
            <a:endParaRPr lang="en-US"/>
          </a:p>
        </c:txPr>
        <c:crossAx val="1778133600"/>
        <c:crosses val="autoZero"/>
        <c:crossBetween val="between"/>
      </c:valAx>
      <c:spPr>
        <a:noFill/>
        <a:ln>
          <a:solidFill>
            <a:schemeClr val="bg2">
              <a:lumMod val="90000"/>
            </a:schemeClr>
          </a:solidFill>
        </a:ln>
        <a:effectLst/>
      </c:spPr>
    </c:plotArea>
    <c:legend>
      <c:legendPos val="b"/>
      <c:layout>
        <c:manualLayout>
          <c:xMode val="edge"/>
          <c:yMode val="edge"/>
          <c:x val="0.27518714877175449"/>
          <c:y val="0.87589662528035406"/>
          <c:w val="0.51082633420822399"/>
          <c:h val="7.2121245261009034E-2"/>
        </c:manualLayout>
      </c:layout>
      <c:overlay val="0"/>
      <c:spPr>
        <a:noFill/>
        <a:ln>
          <a:noFill/>
        </a:ln>
        <a:effectLst/>
      </c:spPr>
      <c:txPr>
        <a:bodyPr rot="0" spcFirstLastPara="1" vertOverflow="ellipsis" vert="horz" wrap="square" anchor="ctr" anchorCtr="1"/>
        <a:lstStyle/>
        <a:p>
          <a:pPr>
            <a:defRPr sz="800" b="0" i="0" u="none" strike="noStrike" kern="1200" cap="none" spc="0" baseline="0">
              <a:ln w="0"/>
              <a:solidFill>
                <a:schemeClr val="tx1"/>
              </a:solidFill>
              <a:effectLst>
                <a:outerShdw dist="19050" sx="1000" sy="1000" algn="tl" rotWithShape="0">
                  <a:schemeClr val="dk1"/>
                </a:outerShdw>
              </a:effectLst>
              <a:latin typeface="Arial Nova" panose="020B0504020202020204" pitchFamily="34" charset="0"/>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0000"/>
                </a:solidFill>
                <a:latin typeface="Arial Nova" panose="020B0504020202020204" pitchFamily="34" charset="0"/>
                <a:ea typeface="+mn-ea"/>
                <a:cs typeface="+mn-cs"/>
              </a:defRPr>
            </a:pPr>
            <a:r>
              <a:rPr lang="en-US" sz="1300" b="0" i="0" u="none" strike="noStrike" baseline="0">
                <a:latin typeface="Arial Nova" panose="020B0504020202020204" pitchFamily="34" charset="0"/>
              </a:rPr>
              <a:t>Profitability Margins Trend (FY2023–FY2025)</a:t>
            </a:r>
            <a:endParaRPr lang="en-US" sz="1300" b="0">
              <a:solidFill>
                <a:srgbClr val="000000"/>
              </a:solidFill>
              <a:latin typeface="Arial Nova" panose="020B05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0000"/>
              </a:solidFill>
              <a:latin typeface="Arial Nova" panose="020B0504020202020204" pitchFamily="34" charset="0"/>
              <a:ea typeface="+mn-ea"/>
              <a:cs typeface="+mn-cs"/>
            </a:defRPr>
          </a:pPr>
          <a:endParaRPr lang="en-US"/>
        </a:p>
      </c:txPr>
    </c:title>
    <c:autoTitleDeleted val="0"/>
    <c:plotArea>
      <c:layout/>
      <c:barChart>
        <c:barDir val="col"/>
        <c:grouping val="clustered"/>
        <c:varyColors val="0"/>
        <c:ser>
          <c:idx val="0"/>
          <c:order val="0"/>
          <c:tx>
            <c:strRef>
              <c:f>'Financial Charts'!$B$26</c:f>
              <c:strCache>
                <c:ptCount val="1"/>
                <c:pt idx="0">
                  <c:v>Operating Margin</c:v>
                </c:pt>
              </c:strCache>
            </c:strRef>
          </c:tx>
          <c:spPr>
            <a:solidFill>
              <a:srgbClr val="2A466E"/>
            </a:solidFill>
            <a:ln>
              <a:noFill/>
            </a:ln>
            <a:effectLst/>
          </c:spPr>
          <c:invertIfNegative val="0"/>
          <c:cat>
            <c:numRef>
              <c:f>'Financial Charts'!$A$27:$A$29</c:f>
              <c:numCache>
                <c:formatCode>General</c:formatCode>
                <c:ptCount val="3"/>
                <c:pt idx="0">
                  <c:v>2023</c:v>
                </c:pt>
                <c:pt idx="1">
                  <c:v>2024</c:v>
                </c:pt>
                <c:pt idx="2">
                  <c:v>2025</c:v>
                </c:pt>
              </c:numCache>
            </c:numRef>
          </c:cat>
          <c:val>
            <c:numRef>
              <c:f>'Financial Charts'!$B$27:$B$29</c:f>
              <c:numCache>
                <c:formatCode>0.0%</c:formatCode>
                <c:ptCount val="3"/>
                <c:pt idx="0">
                  <c:v>0.35099999999999998</c:v>
                </c:pt>
                <c:pt idx="1">
                  <c:v>0.371</c:v>
                </c:pt>
                <c:pt idx="2">
                  <c:v>0.29099999999999998</c:v>
                </c:pt>
              </c:numCache>
            </c:numRef>
          </c:val>
          <c:extLst>
            <c:ext xmlns:c16="http://schemas.microsoft.com/office/drawing/2014/chart" uri="{C3380CC4-5D6E-409C-BE32-E72D297353CC}">
              <c16:uniqueId val="{00000000-1170-4D40-83F8-ABBBE03886C8}"/>
            </c:ext>
          </c:extLst>
        </c:ser>
        <c:ser>
          <c:idx val="1"/>
          <c:order val="1"/>
          <c:tx>
            <c:strRef>
              <c:f>'Financial Charts'!$C$26</c:f>
              <c:strCache>
                <c:ptCount val="1"/>
                <c:pt idx="0">
                  <c:v>Net Profit Margin</c:v>
                </c:pt>
              </c:strCache>
            </c:strRef>
          </c:tx>
          <c:spPr>
            <a:solidFill>
              <a:srgbClr val="447254"/>
            </a:solidFill>
            <a:ln>
              <a:noFill/>
            </a:ln>
            <a:effectLst/>
          </c:spPr>
          <c:invertIfNegative val="0"/>
          <c:cat>
            <c:numRef>
              <c:f>'Financial Charts'!$A$27:$A$29</c:f>
              <c:numCache>
                <c:formatCode>General</c:formatCode>
                <c:ptCount val="3"/>
                <c:pt idx="0">
                  <c:v>2023</c:v>
                </c:pt>
                <c:pt idx="1">
                  <c:v>2024</c:v>
                </c:pt>
                <c:pt idx="2">
                  <c:v>2025</c:v>
                </c:pt>
              </c:numCache>
            </c:numRef>
          </c:cat>
          <c:val>
            <c:numRef>
              <c:f>'Financial Charts'!$C$27:$C$29</c:f>
              <c:numCache>
                <c:formatCode>0.0%</c:formatCode>
                <c:ptCount val="3"/>
                <c:pt idx="0">
                  <c:v>0.318</c:v>
                </c:pt>
                <c:pt idx="1">
                  <c:v>0.31900000000000001</c:v>
                </c:pt>
                <c:pt idx="2">
                  <c:v>0.245</c:v>
                </c:pt>
              </c:numCache>
            </c:numRef>
          </c:val>
          <c:extLst>
            <c:ext xmlns:c16="http://schemas.microsoft.com/office/drawing/2014/chart" uri="{C3380CC4-5D6E-409C-BE32-E72D297353CC}">
              <c16:uniqueId val="{00000001-1170-4D40-83F8-ABBBE03886C8}"/>
            </c:ext>
          </c:extLst>
        </c:ser>
        <c:dLbls>
          <c:showLegendKey val="0"/>
          <c:showVal val="0"/>
          <c:showCatName val="0"/>
          <c:showSerName val="0"/>
          <c:showPercent val="0"/>
          <c:showBubbleSize val="0"/>
        </c:dLbls>
        <c:gapWidth val="70"/>
        <c:overlap val="-27"/>
        <c:axId val="376827104"/>
        <c:axId val="186795216"/>
      </c:barChart>
      <c:catAx>
        <c:axId val="376827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000000"/>
                </a:solidFill>
                <a:latin typeface="Arial Nova" panose="020B0504020202020204" pitchFamily="34" charset="0"/>
                <a:ea typeface="+mn-ea"/>
                <a:cs typeface="+mn-cs"/>
              </a:defRPr>
            </a:pPr>
            <a:endParaRPr lang="en-US"/>
          </a:p>
        </c:txPr>
        <c:crossAx val="186795216"/>
        <c:crosses val="autoZero"/>
        <c:auto val="1"/>
        <c:lblAlgn val="ctr"/>
        <c:lblOffset val="100"/>
        <c:noMultiLvlLbl val="0"/>
      </c:catAx>
      <c:valAx>
        <c:axId val="18679521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000000"/>
                </a:solidFill>
                <a:latin typeface="Arial Nova" panose="020B0504020202020204" pitchFamily="34" charset="0"/>
                <a:ea typeface="+mn-ea"/>
                <a:cs typeface="+mn-cs"/>
              </a:defRPr>
            </a:pPr>
            <a:endParaRPr lang="en-US"/>
          </a:p>
        </c:txPr>
        <c:crossAx val="376827104"/>
        <c:crosses val="autoZero"/>
        <c:crossBetween val="between"/>
      </c:valAx>
      <c:spPr>
        <a:noFill/>
        <a:ln>
          <a:noFill/>
        </a:ln>
        <a:effectLst/>
      </c:spPr>
    </c:plotArea>
    <c:legend>
      <c:legendPos val="b"/>
      <c:layout>
        <c:manualLayout>
          <c:xMode val="edge"/>
          <c:yMode val="edge"/>
          <c:x val="0.29541010498687664"/>
          <c:y val="0.88621208807232432"/>
          <c:w val="0.34129287704898281"/>
          <c:h val="6.7766937881020547E-2"/>
        </c:manualLayout>
      </c:layout>
      <c:overlay val="0"/>
      <c:spPr>
        <a:noFill/>
        <a:ln>
          <a:noFill/>
        </a:ln>
        <a:effectLst/>
      </c:spPr>
      <c:txPr>
        <a:bodyPr rot="0" spcFirstLastPara="1" vertOverflow="ellipsis" vert="horz" wrap="square" anchor="ctr" anchorCtr="1"/>
        <a:lstStyle/>
        <a:p>
          <a:pPr>
            <a:defRPr sz="800" b="0" i="0" u="none" strike="noStrike" kern="1200" baseline="0">
              <a:solidFill>
                <a:srgbClr val="000000"/>
              </a:solidFill>
              <a:latin typeface="Arial Nova" panose="020B0504020202020204" pitchFamily="34" charset="0"/>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200" b="0" i="0" u="none" strike="noStrike" baseline="0">
                <a:solidFill>
                  <a:schemeClr val="tx1"/>
                </a:solidFill>
                <a:latin typeface="Arial Nova" panose="020B0504020202020204" pitchFamily="34" charset="0"/>
              </a:rPr>
              <a:t>Cash Flow Performance (FY2023–FY2025)</a:t>
            </a:r>
            <a:endParaRPr lang="en-US" sz="1200" b="0">
              <a:solidFill>
                <a:schemeClr val="tx1"/>
              </a:solidFill>
              <a:latin typeface="Arial Nova" panose="020B0504020202020204" pitchFamily="34" charset="0"/>
            </a:endParaRPr>
          </a:p>
        </c:rich>
      </c:tx>
      <c:layout>
        <c:manualLayout>
          <c:xMode val="edge"/>
          <c:yMode val="edge"/>
          <c:x val="0.23932126219214739"/>
          <c:y val="3.2448606918159796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'Financial Charts'!$P$26</c:f>
              <c:strCache>
                <c:ptCount val="1"/>
                <c:pt idx="0">
                  <c:v>Operating Cash Flow</c:v>
                </c:pt>
              </c:strCache>
            </c:strRef>
          </c:tx>
          <c:spPr>
            <a:solidFill>
              <a:srgbClr val="2A466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'Financial Charts'!$O$27:$O$29</c:f>
              <c:numCache>
                <c:formatCode>General</c:formatCode>
                <c:ptCount val="3"/>
                <c:pt idx="0">
                  <c:v>2023</c:v>
                </c:pt>
                <c:pt idx="1">
                  <c:v>2024</c:v>
                </c:pt>
                <c:pt idx="2">
                  <c:v>2025</c:v>
                </c:pt>
              </c:numCache>
            </c:numRef>
          </c:cat>
          <c:val>
            <c:numRef>
              <c:f>'Financial Charts'!$P$27:$P$29</c:f>
              <c:numCache>
                <c:formatCode>#,##0</c:formatCode>
                <c:ptCount val="3"/>
                <c:pt idx="0">
                  <c:v>4165</c:v>
                </c:pt>
                <c:pt idx="1">
                  <c:v>4956</c:v>
                </c:pt>
                <c:pt idx="2">
                  <c:v>3927</c:v>
                </c:pt>
              </c:numCache>
            </c:numRef>
          </c:val>
          <c:extLst>
            <c:ext xmlns:c16="http://schemas.microsoft.com/office/drawing/2014/chart" uri="{C3380CC4-5D6E-409C-BE32-E72D297353CC}">
              <c16:uniqueId val="{00000000-DEA8-4C5D-9B4A-0DDCB81C8E4F}"/>
            </c:ext>
          </c:extLst>
        </c:ser>
        <c:ser>
          <c:idx val="1"/>
          <c:order val="1"/>
          <c:tx>
            <c:strRef>
              <c:f>'Financial Charts'!$Q$26</c:f>
              <c:strCache>
                <c:ptCount val="1"/>
                <c:pt idx="0">
                  <c:v>Investing Cash Flow</c:v>
                </c:pt>
              </c:strCache>
            </c:strRef>
          </c:tx>
          <c:spPr>
            <a:solidFill>
              <a:srgbClr val="80808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'Financial Charts'!$O$27:$O$29</c:f>
              <c:numCache>
                <c:formatCode>General</c:formatCode>
                <c:ptCount val="3"/>
                <c:pt idx="0">
                  <c:v>2023</c:v>
                </c:pt>
                <c:pt idx="1">
                  <c:v>2024</c:v>
                </c:pt>
                <c:pt idx="2">
                  <c:v>2025</c:v>
                </c:pt>
              </c:numCache>
            </c:numRef>
          </c:cat>
          <c:val>
            <c:numRef>
              <c:f>'Financial Charts'!$Q$27:$Q$29</c:f>
              <c:numCache>
                <c:formatCode>#,##0</c:formatCode>
                <c:ptCount val="3"/>
                <c:pt idx="0" formatCode="General">
                  <c:v>-959</c:v>
                </c:pt>
                <c:pt idx="1">
                  <c:v>-3004</c:v>
                </c:pt>
                <c:pt idx="2">
                  <c:v>-4418</c:v>
                </c:pt>
              </c:numCache>
            </c:numRef>
          </c:val>
          <c:extLst>
            <c:ext xmlns:c16="http://schemas.microsoft.com/office/drawing/2014/chart" uri="{C3380CC4-5D6E-409C-BE32-E72D297353CC}">
              <c16:uniqueId val="{00000001-DEA8-4C5D-9B4A-0DDCB81C8E4F}"/>
            </c:ext>
          </c:extLst>
        </c:ser>
        <c:ser>
          <c:idx val="2"/>
          <c:order val="2"/>
          <c:tx>
            <c:strRef>
              <c:f>'Financial Charts'!$R$26</c:f>
              <c:strCache>
                <c:ptCount val="1"/>
                <c:pt idx="0">
                  <c:v>Financing Cash Flow</c:v>
                </c:pt>
              </c:strCache>
            </c:strRef>
          </c:tx>
          <c:spPr>
            <a:solidFill>
              <a:srgbClr val="44725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'Financial Charts'!$O$27:$O$29</c:f>
              <c:numCache>
                <c:formatCode>General</c:formatCode>
                <c:ptCount val="3"/>
                <c:pt idx="0">
                  <c:v>2023</c:v>
                </c:pt>
                <c:pt idx="1">
                  <c:v>2024</c:v>
                </c:pt>
                <c:pt idx="2">
                  <c:v>2025</c:v>
                </c:pt>
              </c:numCache>
            </c:numRef>
          </c:cat>
          <c:val>
            <c:numRef>
              <c:f>'Financial Charts'!$R$27:$R$29</c:f>
              <c:numCache>
                <c:formatCode>#,##0</c:formatCode>
                <c:ptCount val="3"/>
                <c:pt idx="0">
                  <c:v>-1992</c:v>
                </c:pt>
                <c:pt idx="1">
                  <c:v>2236</c:v>
                </c:pt>
                <c:pt idx="2">
                  <c:v>-1127</c:v>
                </c:pt>
              </c:numCache>
            </c:numRef>
          </c:val>
          <c:extLst>
            <c:ext xmlns:c16="http://schemas.microsoft.com/office/drawing/2014/chart" uri="{C3380CC4-5D6E-409C-BE32-E72D297353CC}">
              <c16:uniqueId val="{00000002-DEA8-4C5D-9B4A-0DDCB81C8E4F}"/>
            </c:ext>
          </c:extLst>
        </c:ser>
        <c:dLbls>
          <c:dLblPos val="outEnd"/>
          <c:showLegendKey val="0"/>
          <c:showVal val="1"/>
          <c:showCatName val="0"/>
          <c:showSerName val="0"/>
          <c:showPercent val="0"/>
          <c:showBubbleSize val="0"/>
        </c:dLbls>
        <c:gapWidth val="60"/>
        <c:overlap val="-27"/>
        <c:axId val="2091163456"/>
        <c:axId val="186801936"/>
      </c:barChart>
      <c:catAx>
        <c:axId val="2091163456"/>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01936"/>
        <c:crosses val="autoZero"/>
        <c:auto val="1"/>
        <c:lblAlgn val="ctr"/>
        <c:lblOffset val="100"/>
        <c:noMultiLvlLbl val="0"/>
      </c:catAx>
      <c:valAx>
        <c:axId val="1868019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low"/>
        <c:spPr>
          <a:noFill/>
          <a:ln>
            <a:solidFill>
              <a:schemeClr val="tx1"/>
            </a:solidFill>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2091163456"/>
        <c:crosses val="autoZero"/>
        <c:crossBetween val="between"/>
      </c:valAx>
      <c:spPr>
        <a:noFill/>
        <a:ln>
          <a:noFill/>
        </a:ln>
        <a:effectLst/>
      </c:spPr>
    </c:plotArea>
    <c:legend>
      <c:legendPos val="b"/>
      <c:layout>
        <c:manualLayout>
          <c:xMode val="edge"/>
          <c:yMode val="edge"/>
          <c:x val="0.19567454309689702"/>
          <c:y val="0.89253744091086784"/>
          <c:w val="0.5781897338545734"/>
          <c:h val="5.5976096472011336E-2"/>
        </c:manualLayout>
      </c:layout>
      <c:overlay val="0"/>
      <c:spPr>
        <a:noFill/>
        <a:ln>
          <a:noFill/>
        </a:ln>
        <a:effectLst/>
      </c:spPr>
      <c:txPr>
        <a:bodyPr rot="0" spcFirstLastPara="1" vertOverflow="ellipsis" vert="horz" wrap="square" anchor="ctr" anchorCtr="1"/>
        <a:lstStyle/>
        <a:p>
          <a:pPr>
            <a:defRPr sz="700" b="0" i="0" u="none" strike="noStrike" kern="1200" baseline="0">
              <a:solidFill>
                <a:srgbClr val="000000"/>
              </a:solidFill>
              <a:latin typeface="Arial Nova" panose="020B0504020202020204" pitchFamily="34" charset="0"/>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0" i="0" u="none" strike="noStrike" kern="1200" spc="0" baseline="0">
                <a:solidFill>
                  <a:schemeClr val="tx1">
                    <a:lumMod val="65000"/>
                    <a:lumOff val="35000"/>
                  </a:schemeClr>
                </a:solidFill>
                <a:latin typeface="Arial Nova" panose="020B0504020202020204" pitchFamily="34" charset="0"/>
                <a:ea typeface="+mn-ea"/>
                <a:cs typeface="+mn-cs"/>
              </a:defRPr>
            </a:pPr>
            <a:r>
              <a:rPr lang="en-US" sz="1300" b="0" i="0" u="none" strike="noStrike" baseline="0">
                <a:solidFill>
                  <a:schemeClr val="tx1"/>
                </a:solidFill>
                <a:latin typeface="Arial Nova" panose="020B0504020202020204" pitchFamily="34" charset="0"/>
              </a:rPr>
              <a:t>Efficiency Ratio Trends</a:t>
            </a:r>
            <a:endParaRPr lang="en-US" sz="1300" b="0">
              <a:solidFill>
                <a:schemeClr val="tx1"/>
              </a:solidFill>
              <a:latin typeface="Arial Nova" panose="020B0504020202020204" pitchFamily="34" charset="0"/>
            </a:endParaRPr>
          </a:p>
        </c:rich>
      </c:tx>
      <c:overlay val="0"/>
      <c:spPr>
        <a:noFill/>
        <a:ln>
          <a:noFill/>
        </a:ln>
        <a:effectLst/>
      </c:spPr>
      <c:txPr>
        <a:bodyPr rot="0" spcFirstLastPara="1" vertOverflow="ellipsis" vert="horz" wrap="square" anchor="ctr" anchorCtr="1"/>
        <a:lstStyle/>
        <a:p>
          <a:pPr>
            <a:defRPr sz="1300" b="0" i="0" u="none" strike="noStrike" kern="1200" spc="0" baseline="0">
              <a:solidFill>
                <a:schemeClr val="tx1">
                  <a:lumMod val="65000"/>
                  <a:lumOff val="35000"/>
                </a:schemeClr>
              </a:solidFill>
              <a:latin typeface="Arial Nova" panose="020B0504020202020204" pitchFamily="34" charset="0"/>
              <a:ea typeface="+mn-ea"/>
              <a:cs typeface="+mn-cs"/>
            </a:defRPr>
          </a:pPr>
          <a:endParaRPr lang="en-US"/>
        </a:p>
      </c:txPr>
    </c:title>
    <c:autoTitleDeleted val="0"/>
    <c:plotArea>
      <c:layout/>
      <c:lineChart>
        <c:grouping val="standard"/>
        <c:varyColors val="0"/>
        <c:ser>
          <c:idx val="0"/>
          <c:order val="0"/>
          <c:tx>
            <c:strRef>
              <c:f>'Financial Charts'!$B$47</c:f>
              <c:strCache>
                <c:ptCount val="1"/>
                <c:pt idx="0">
                  <c:v>Asset Turnover</c:v>
                </c:pt>
              </c:strCache>
            </c:strRef>
          </c:tx>
          <c:spPr>
            <a:ln w="28575" cap="rnd">
              <a:solidFill>
                <a:srgbClr val="2A466E"/>
              </a:solidFill>
              <a:round/>
            </a:ln>
            <a:effectLst/>
          </c:spPr>
          <c:marker>
            <c:symbol val="circle"/>
            <c:size val="5"/>
            <c:spPr>
              <a:solidFill>
                <a:srgbClr val="2A466E"/>
              </a:solidFill>
              <a:ln w="9525">
                <a:solidFill>
                  <a:srgbClr val="2A466E"/>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'Financial Charts'!$A$48:$A$49</c:f>
              <c:numCache>
                <c:formatCode>General</c:formatCode>
                <c:ptCount val="2"/>
                <c:pt idx="0">
                  <c:v>2024</c:v>
                </c:pt>
                <c:pt idx="1">
                  <c:v>2025</c:v>
                </c:pt>
              </c:numCache>
            </c:numRef>
          </c:cat>
          <c:val>
            <c:numRef>
              <c:f>'Financial Charts'!$B$48:$B$49</c:f>
              <c:numCache>
                <c:formatCode>0.00</c:formatCode>
                <c:ptCount val="2"/>
                <c:pt idx="0">
                  <c:v>0.15</c:v>
                </c:pt>
                <c:pt idx="1">
                  <c:v>0.14000000000000001</c:v>
                </c:pt>
              </c:numCache>
            </c:numRef>
          </c:val>
          <c:smooth val="0"/>
          <c:extLst>
            <c:ext xmlns:c16="http://schemas.microsoft.com/office/drawing/2014/chart" uri="{C3380CC4-5D6E-409C-BE32-E72D297353CC}">
              <c16:uniqueId val="{00000000-10D2-4427-A553-256603064CF1}"/>
            </c:ext>
          </c:extLst>
        </c:ser>
        <c:dLbls>
          <c:showLegendKey val="0"/>
          <c:showVal val="0"/>
          <c:showCatName val="0"/>
          <c:showSerName val="0"/>
          <c:showPercent val="0"/>
          <c:showBubbleSize val="0"/>
        </c:dLbls>
        <c:marker val="1"/>
        <c:smooth val="0"/>
        <c:axId val="1512648399"/>
        <c:axId val="1510617647"/>
      </c:lineChart>
      <c:lineChart>
        <c:grouping val="standard"/>
        <c:varyColors val="0"/>
        <c:ser>
          <c:idx val="1"/>
          <c:order val="1"/>
          <c:tx>
            <c:strRef>
              <c:f>'Financial Charts'!$C$47</c:f>
              <c:strCache>
                <c:ptCount val="1"/>
                <c:pt idx="0">
                  <c:v>Receivables Turnover</c:v>
                </c:pt>
              </c:strCache>
            </c:strRef>
          </c:tx>
          <c:spPr>
            <a:ln w="28575" cap="rnd">
              <a:solidFill>
                <a:srgbClr val="447254"/>
              </a:solidFill>
              <a:round/>
            </a:ln>
            <a:effectLst/>
          </c:spPr>
          <c:marker>
            <c:symbol val="circle"/>
            <c:size val="5"/>
            <c:spPr>
              <a:solidFill>
                <a:srgbClr val="447254"/>
              </a:solidFill>
              <a:ln w="9525">
                <a:solidFill>
                  <a:srgbClr val="44725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'Financial Charts'!$A$48:$A$49</c:f>
              <c:numCache>
                <c:formatCode>General</c:formatCode>
                <c:ptCount val="2"/>
                <c:pt idx="0">
                  <c:v>2024</c:v>
                </c:pt>
                <c:pt idx="1">
                  <c:v>2025</c:v>
                </c:pt>
              </c:numCache>
            </c:numRef>
          </c:cat>
          <c:val>
            <c:numRef>
              <c:f>'Financial Charts'!$C$48:$C$49</c:f>
              <c:numCache>
                <c:formatCode>0.00</c:formatCode>
                <c:ptCount val="2"/>
                <c:pt idx="0">
                  <c:v>4.97</c:v>
                </c:pt>
                <c:pt idx="1">
                  <c:v>5.12</c:v>
                </c:pt>
              </c:numCache>
            </c:numRef>
          </c:val>
          <c:smooth val="0"/>
          <c:extLst>
            <c:ext xmlns:c16="http://schemas.microsoft.com/office/drawing/2014/chart" uri="{C3380CC4-5D6E-409C-BE32-E72D297353CC}">
              <c16:uniqueId val="{00000001-10D2-4427-A553-256603064CF1}"/>
            </c:ext>
          </c:extLst>
        </c:ser>
        <c:dLbls>
          <c:showLegendKey val="0"/>
          <c:showVal val="0"/>
          <c:showCatName val="0"/>
          <c:showSerName val="0"/>
          <c:showPercent val="0"/>
          <c:showBubbleSize val="0"/>
        </c:dLbls>
        <c:marker val="1"/>
        <c:smooth val="0"/>
        <c:axId val="1090398223"/>
        <c:axId val="1510526927"/>
      </c:lineChart>
      <c:catAx>
        <c:axId val="1512648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10617647"/>
        <c:crosses val="autoZero"/>
        <c:auto val="1"/>
        <c:lblAlgn val="ctr"/>
        <c:lblOffset val="100"/>
        <c:noMultiLvlLbl val="0"/>
      </c:catAx>
      <c:valAx>
        <c:axId val="1510617647"/>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12648399"/>
        <c:crosses val="autoZero"/>
        <c:crossBetween val="between"/>
      </c:valAx>
      <c:valAx>
        <c:axId val="1510526927"/>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398223"/>
        <c:crosses val="max"/>
        <c:crossBetween val="between"/>
      </c:valAx>
      <c:catAx>
        <c:axId val="1090398223"/>
        <c:scaling>
          <c:orientation val="minMax"/>
        </c:scaling>
        <c:delete val="1"/>
        <c:axPos val="b"/>
        <c:numFmt formatCode="General" sourceLinked="1"/>
        <c:majorTickMark val="out"/>
        <c:minorTickMark val="none"/>
        <c:tickLblPos val="nextTo"/>
        <c:crossAx val="1510526927"/>
        <c:crosses val="autoZero"/>
        <c:auto val="1"/>
        <c:lblAlgn val="ctr"/>
        <c:lblOffset val="100"/>
        <c:noMultiLvlLbl val="0"/>
      </c:catAx>
      <c:spPr>
        <a:noFill/>
        <a:ln>
          <a:noFill/>
        </a:ln>
        <a:effectLst/>
      </c:spPr>
    </c:plotArea>
    <c:legend>
      <c:legendPos val="b"/>
      <c:overlay val="0"/>
      <c:spPr>
        <a:solidFill>
          <a:srgbClr val="F8F8F8"/>
        </a:solidFill>
        <a:ln>
          <a:solidFill>
            <a:srgbClr val="F8F8F8"/>
          </a:solid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r>
              <a:rPr lang="en-US" sz="1300" b="0" i="0" u="none" strike="noStrike" baseline="0">
                <a:solidFill>
                  <a:schemeClr val="tx1"/>
                </a:solidFill>
                <a:latin typeface="Arial Nova" panose="020B0504020202020204" pitchFamily="34" charset="0"/>
              </a:rPr>
              <a:t>Adjusted P/E vs. Selected Peers</a:t>
            </a:r>
            <a:endParaRPr lang="en-US" sz="1300" b="0">
              <a:solidFill>
                <a:schemeClr val="tx1"/>
              </a:solidFill>
              <a:latin typeface="Arial Nova" panose="020B0504020202020204" pitchFamily="34" charset="0"/>
            </a:endParaRPr>
          </a:p>
        </c:rich>
      </c:tx>
      <c:overlay val="0"/>
      <c:spPr>
        <a:noFill/>
        <a:ln>
          <a:noFill/>
        </a:ln>
        <a:effectLst/>
      </c:spPr>
      <c:txPr>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'Financial Charts'!$P$47</c:f>
              <c:strCache>
                <c:ptCount val="1"/>
                <c:pt idx="0">
                  <c:v>Adjusted P/E</c:v>
                </c:pt>
              </c:strCache>
            </c:strRef>
          </c:tx>
          <c:spPr>
            <a:solidFill>
              <a:srgbClr val="2A466E"/>
            </a:solidFill>
            <a:ln>
              <a:solidFill>
                <a:srgbClr val="2A466E"/>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'Financial Charts'!$O$48:$O$51</c:f>
              <c:strCache>
                <c:ptCount val="4"/>
                <c:pt idx="0">
                  <c:v>BlackRock</c:v>
                </c:pt>
                <c:pt idx="1">
                  <c:v>T. Rowe Price</c:v>
                </c:pt>
                <c:pt idx="2">
                  <c:v>Franklin Resources</c:v>
                </c:pt>
                <c:pt idx="3">
                  <c:v>Invesco</c:v>
                </c:pt>
              </c:strCache>
            </c:strRef>
          </c:cat>
          <c:val>
            <c:numRef>
              <c:f>'Financial Charts'!$P$48:$P$51</c:f>
              <c:numCache>
                <c:formatCode>00.00\x</c:formatCode>
                <c:ptCount val="4"/>
                <c:pt idx="0">
                  <c:v>24.41</c:v>
                </c:pt>
                <c:pt idx="1">
                  <c:v>11.37</c:v>
                </c:pt>
                <c:pt idx="2">
                  <c:v>15.25</c:v>
                </c:pt>
                <c:pt idx="3">
                  <c:v>16.03</c:v>
                </c:pt>
              </c:numCache>
            </c:numRef>
          </c:val>
          <c:extLst>
            <c:ext xmlns:c16="http://schemas.microsoft.com/office/drawing/2014/chart" uri="{C3380CC4-5D6E-409C-BE32-E72D297353CC}">
              <c16:uniqueId val="{00000000-7040-455E-BE6B-D30A0788F768}"/>
            </c:ext>
          </c:extLst>
        </c:ser>
        <c:dLbls>
          <c:showLegendKey val="0"/>
          <c:showVal val="0"/>
          <c:showCatName val="0"/>
          <c:showSerName val="0"/>
          <c:showPercent val="0"/>
          <c:showBubbleSize val="0"/>
        </c:dLbls>
        <c:gapWidth val="219"/>
        <c:axId val="1078389727"/>
        <c:axId val="1510563407"/>
      </c:barChart>
      <c:lineChart>
        <c:grouping val="standard"/>
        <c:varyColors val="0"/>
        <c:ser>
          <c:idx val="1"/>
          <c:order val="1"/>
          <c:tx>
            <c:strRef>
              <c:f>'Financial Charts'!$Q$47</c:f>
              <c:strCache>
                <c:ptCount val="1"/>
                <c:pt idx="0">
                  <c:v>Peer Median</c:v>
                </c:pt>
              </c:strCache>
            </c:strRef>
          </c:tx>
          <c:spPr>
            <a:ln w="28575" cap="rnd">
              <a:solidFill>
                <a:srgbClr val="447254"/>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2-7040-455E-BE6B-D30A0788F768}"/>
                </c:ext>
              </c:extLst>
            </c:dLbl>
            <c:dLbl>
              <c:idx val="1"/>
              <c:delete val="1"/>
              <c:extLst>
                <c:ext xmlns:c15="http://schemas.microsoft.com/office/drawing/2012/chart" uri="{CE6537A1-D6FC-4f65-9D91-7224C49458BB}"/>
                <c:ext xmlns:c16="http://schemas.microsoft.com/office/drawing/2014/chart" uri="{C3380CC4-5D6E-409C-BE32-E72D297353CC}">
                  <c16:uniqueId val="{00000003-7040-455E-BE6B-D30A0788F768}"/>
                </c:ext>
              </c:extLst>
            </c:dLbl>
            <c:dLbl>
              <c:idx val="2"/>
              <c:delete val="1"/>
              <c:extLst>
                <c:ext xmlns:c15="http://schemas.microsoft.com/office/drawing/2012/chart" uri="{CE6537A1-D6FC-4f65-9D91-7224C49458BB}"/>
                <c:ext xmlns:c16="http://schemas.microsoft.com/office/drawing/2014/chart" uri="{C3380CC4-5D6E-409C-BE32-E72D297353CC}">
                  <c16:uniqueId val="{00000004-7040-455E-BE6B-D30A0788F768}"/>
                </c:ext>
              </c:extLst>
            </c:dLbl>
            <c:dLbl>
              <c:idx val="3"/>
              <c:layout>
                <c:manualLayout>
                  <c:x val="3.6143487851946848E-2"/>
                  <c:y val="-3.18848158338059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040-455E-BE6B-D30A0788F76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'Financial Charts'!$O$48:$O$51</c:f>
              <c:strCache>
                <c:ptCount val="4"/>
                <c:pt idx="0">
                  <c:v>BlackRock</c:v>
                </c:pt>
                <c:pt idx="1">
                  <c:v>T. Rowe Price</c:v>
                </c:pt>
                <c:pt idx="2">
                  <c:v>Franklin Resources</c:v>
                </c:pt>
                <c:pt idx="3">
                  <c:v>Invesco</c:v>
                </c:pt>
              </c:strCache>
            </c:strRef>
          </c:cat>
          <c:val>
            <c:numRef>
              <c:f>'Financial Charts'!$Q$48:$Q$51</c:f>
              <c:numCache>
                <c:formatCode>00.00\x</c:formatCode>
                <c:ptCount val="4"/>
                <c:pt idx="0">
                  <c:v>15.25</c:v>
                </c:pt>
                <c:pt idx="1">
                  <c:v>15.25</c:v>
                </c:pt>
                <c:pt idx="2">
                  <c:v>15.25</c:v>
                </c:pt>
                <c:pt idx="3">
                  <c:v>15.25</c:v>
                </c:pt>
              </c:numCache>
            </c:numRef>
          </c:val>
          <c:smooth val="0"/>
          <c:extLst>
            <c:ext xmlns:c16="http://schemas.microsoft.com/office/drawing/2014/chart" uri="{C3380CC4-5D6E-409C-BE32-E72D297353CC}">
              <c16:uniqueId val="{00000001-7040-455E-BE6B-D30A0788F768}"/>
            </c:ext>
          </c:extLst>
        </c:ser>
        <c:dLbls>
          <c:showLegendKey val="0"/>
          <c:showVal val="0"/>
          <c:showCatName val="0"/>
          <c:showSerName val="0"/>
          <c:showPercent val="0"/>
          <c:showBubbleSize val="0"/>
        </c:dLbls>
        <c:marker val="1"/>
        <c:smooth val="0"/>
        <c:axId val="1078389727"/>
        <c:axId val="1510563407"/>
      </c:lineChart>
      <c:catAx>
        <c:axId val="107838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10563407"/>
        <c:crosses val="autoZero"/>
        <c:auto val="1"/>
        <c:lblAlgn val="ctr"/>
        <c:lblOffset val="100"/>
        <c:noMultiLvlLbl val="0"/>
      </c:catAx>
      <c:valAx>
        <c:axId val="1510563407"/>
        <c:scaling>
          <c:orientation val="minMax"/>
        </c:scaling>
        <c:delete val="0"/>
        <c:axPos val="l"/>
        <c:majorGridlines>
          <c:spPr>
            <a:ln w="9525" cap="flat" cmpd="sng" algn="ctr">
              <a:solidFill>
                <a:schemeClr val="tx1">
                  <a:lumMod val="15000"/>
                  <a:lumOff val="85000"/>
                </a:schemeClr>
              </a:solidFill>
              <a:round/>
            </a:ln>
            <a:effectLst/>
          </c:spPr>
        </c:majorGridlines>
        <c:numFmt formatCode="00.00\x"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783897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0000"/>
                </a:solidFill>
                <a:latin typeface="+mn-lt"/>
                <a:ea typeface="+mn-ea"/>
                <a:cs typeface="+mn-cs"/>
              </a:defRPr>
            </a:pPr>
            <a:r>
              <a:rPr lang="en-US" sz="1400" b="1" i="0" u="none" strike="noStrike" baseline="0">
                <a:solidFill>
                  <a:srgbClr val="000000"/>
                </a:solidFill>
              </a:rPr>
              <a:t>Revenue &amp; Net Income Trend</a:t>
            </a:r>
            <a:endParaRPr lang="en-US" b="1">
              <a:solidFill>
                <a:srgbClr val="000000"/>
              </a:solidFill>
            </a:endParaRPr>
          </a:p>
        </c:rich>
      </c:tx>
      <c:layout>
        <c:manualLayout>
          <c:xMode val="edge"/>
          <c:yMode val="edge"/>
          <c:x val="0.22756490674997829"/>
          <c:y val="5.7494420324956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00000"/>
              </a:solidFill>
              <a:latin typeface="+mn-lt"/>
              <a:ea typeface="+mn-ea"/>
              <a:cs typeface="+mn-cs"/>
            </a:defRPr>
          </a:pPr>
          <a:endParaRPr lang="en-US"/>
        </a:p>
      </c:txPr>
    </c:title>
    <c:autoTitleDeleted val="0"/>
    <c:plotArea>
      <c:layout/>
      <c:barChart>
        <c:barDir val="col"/>
        <c:grouping val="clustered"/>
        <c:varyColors val="0"/>
        <c:ser>
          <c:idx val="1"/>
          <c:order val="0"/>
          <c:tx>
            <c:strRef>
              <c:f>Dashboard!$B$36</c:f>
              <c:strCache>
                <c:ptCount val="1"/>
                <c:pt idx="0">
                  <c:v>Revenue</c:v>
                </c:pt>
              </c:strCache>
            </c:strRef>
          </c:tx>
          <c:spPr>
            <a:solidFill>
              <a:srgbClr val="2A466E"/>
            </a:solidFill>
            <a:ln>
              <a:noFill/>
            </a:ln>
            <a:effectLst/>
          </c:spPr>
          <c:invertIfNegative val="0"/>
          <c:dLbls>
            <c:numFmt formatCode="&quot;$&quot;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Dashboard!$A$37:$A$39</c:f>
              <c:numCache>
                <c:formatCode>General</c:formatCode>
                <c:ptCount val="3"/>
                <c:pt idx="0">
                  <c:v>2023</c:v>
                </c:pt>
                <c:pt idx="1">
                  <c:v>2024</c:v>
                </c:pt>
                <c:pt idx="2">
                  <c:v>2025</c:v>
                </c:pt>
              </c:numCache>
            </c:numRef>
          </c:cat>
          <c:val>
            <c:numRef>
              <c:f>Dashboard!$B$37:$B$39</c:f>
              <c:numCache>
                <c:formatCode>#,##0</c:formatCode>
                <c:ptCount val="3"/>
                <c:pt idx="0">
                  <c:v>17859</c:v>
                </c:pt>
                <c:pt idx="1">
                  <c:v>20407</c:v>
                </c:pt>
                <c:pt idx="2">
                  <c:v>24216</c:v>
                </c:pt>
              </c:numCache>
            </c:numRef>
          </c:val>
          <c:extLst>
            <c:ext xmlns:c16="http://schemas.microsoft.com/office/drawing/2014/chart" uri="{C3380CC4-5D6E-409C-BE32-E72D297353CC}">
              <c16:uniqueId val="{00000001-01F9-43E2-AA47-DFF7A5C0125B}"/>
            </c:ext>
          </c:extLst>
        </c:ser>
        <c:ser>
          <c:idx val="2"/>
          <c:order val="1"/>
          <c:tx>
            <c:strRef>
              <c:f>Dashboard!$C$36</c:f>
              <c:strCache>
                <c:ptCount val="1"/>
                <c:pt idx="0">
                  <c:v>Net Income</c:v>
                </c:pt>
              </c:strCache>
            </c:strRef>
          </c:tx>
          <c:spPr>
            <a:solidFill>
              <a:srgbClr val="447254"/>
            </a:solidFill>
            <a:ln>
              <a:noFill/>
            </a:ln>
            <a:effectLst/>
          </c:spPr>
          <c:invertIfNegative val="0"/>
          <c:dLbls>
            <c:numFmt formatCode="&quot;$&quot;0.0,&quot;B&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Dashboard!$A$37:$A$39</c:f>
              <c:numCache>
                <c:formatCode>General</c:formatCode>
                <c:ptCount val="3"/>
                <c:pt idx="0">
                  <c:v>2023</c:v>
                </c:pt>
                <c:pt idx="1">
                  <c:v>2024</c:v>
                </c:pt>
                <c:pt idx="2">
                  <c:v>2025</c:v>
                </c:pt>
              </c:numCache>
            </c:numRef>
          </c:cat>
          <c:val>
            <c:numRef>
              <c:f>Dashboard!$C$37:$C$39</c:f>
              <c:numCache>
                <c:formatCode>#,##0</c:formatCode>
                <c:ptCount val="3"/>
                <c:pt idx="0">
                  <c:v>5502</c:v>
                </c:pt>
                <c:pt idx="1">
                  <c:v>6369</c:v>
                </c:pt>
                <c:pt idx="2">
                  <c:v>5553</c:v>
                </c:pt>
              </c:numCache>
            </c:numRef>
          </c:val>
          <c:extLst>
            <c:ext xmlns:c16="http://schemas.microsoft.com/office/drawing/2014/chart" uri="{C3380CC4-5D6E-409C-BE32-E72D297353CC}">
              <c16:uniqueId val="{00000002-01F9-43E2-AA47-DFF7A5C0125B}"/>
            </c:ext>
          </c:extLst>
        </c:ser>
        <c:dLbls>
          <c:dLblPos val="outEnd"/>
          <c:showLegendKey val="0"/>
          <c:showVal val="1"/>
          <c:showCatName val="0"/>
          <c:showSerName val="0"/>
          <c:showPercent val="0"/>
          <c:showBubbleSize val="0"/>
        </c:dLbls>
        <c:gapWidth val="219"/>
        <c:overlap val="-27"/>
        <c:axId val="1741708816"/>
        <c:axId val="1425054384"/>
      </c:barChart>
      <c:catAx>
        <c:axId val="174170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1425054384"/>
        <c:crosses val="autoZero"/>
        <c:auto val="1"/>
        <c:lblAlgn val="ctr"/>
        <c:lblOffset val="100"/>
        <c:noMultiLvlLbl val="0"/>
      </c:catAx>
      <c:valAx>
        <c:axId val="1425054384"/>
        <c:scaling>
          <c:orientation val="minMax"/>
        </c:scaling>
        <c:delete val="1"/>
        <c:axPos val="l"/>
        <c:numFmt formatCode="#,##0" sourceLinked="1"/>
        <c:majorTickMark val="none"/>
        <c:minorTickMark val="none"/>
        <c:tickLblPos val="nextTo"/>
        <c:crossAx val="1741708816"/>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251849</xdr:colOff>
      <xdr:row>5</xdr:row>
      <xdr:rowOff>30341</xdr:rowOff>
    </xdr:from>
    <xdr:to>
      <xdr:col>10</xdr:col>
      <xdr:colOff>562060</xdr:colOff>
      <xdr:row>19</xdr:row>
      <xdr:rowOff>48213</xdr:rowOff>
    </xdr:to>
    <xdr:graphicFrame macro="">
      <xdr:nvGraphicFramePr>
        <xdr:cNvPr id="2" name="Chart 1">
          <a:extLst>
            <a:ext uri="{FF2B5EF4-FFF2-40B4-BE49-F238E27FC236}">
              <a16:creationId xmlns:a16="http://schemas.microsoft.com/office/drawing/2014/main" id="{F0E34750-C046-EFD4-FE44-824A958D5B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279862</xdr:colOff>
      <xdr:row>5</xdr:row>
      <xdr:rowOff>19692</xdr:rowOff>
    </xdr:from>
    <xdr:to>
      <xdr:col>27</xdr:col>
      <xdr:colOff>58796</xdr:colOff>
      <xdr:row>19</xdr:row>
      <xdr:rowOff>146991</xdr:rowOff>
    </xdr:to>
    <xdr:graphicFrame macro="">
      <xdr:nvGraphicFramePr>
        <xdr:cNvPr id="3" name="Chart 2">
          <a:extLst>
            <a:ext uri="{FF2B5EF4-FFF2-40B4-BE49-F238E27FC236}">
              <a16:creationId xmlns:a16="http://schemas.microsoft.com/office/drawing/2014/main" id="{72BA3BE4-D647-ED22-5958-F0444FF782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306619</xdr:colOff>
      <xdr:row>24</xdr:row>
      <xdr:rowOff>132066</xdr:rowOff>
    </xdr:from>
    <xdr:to>
      <xdr:col>11</xdr:col>
      <xdr:colOff>170509</xdr:colOff>
      <xdr:row>39</xdr:row>
      <xdr:rowOff>82314</xdr:rowOff>
    </xdr:to>
    <xdr:graphicFrame macro="">
      <xdr:nvGraphicFramePr>
        <xdr:cNvPr id="8" name="Chart 7">
          <a:extLst>
            <a:ext uri="{FF2B5EF4-FFF2-40B4-BE49-F238E27FC236}">
              <a16:creationId xmlns:a16="http://schemas.microsoft.com/office/drawing/2014/main" id="{C3E51A89-125F-57D0-334C-48514DB0D4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242297</xdr:colOff>
      <xdr:row>24</xdr:row>
      <xdr:rowOff>322788</xdr:rowOff>
    </xdr:from>
    <xdr:to>
      <xdr:col>27</xdr:col>
      <xdr:colOff>70556</xdr:colOff>
      <xdr:row>42</xdr:row>
      <xdr:rowOff>70555</xdr:rowOff>
    </xdr:to>
    <xdr:graphicFrame macro="">
      <xdr:nvGraphicFramePr>
        <xdr:cNvPr id="10" name="Chart 9">
          <a:extLst>
            <a:ext uri="{FF2B5EF4-FFF2-40B4-BE49-F238E27FC236}">
              <a16:creationId xmlns:a16="http://schemas.microsoft.com/office/drawing/2014/main" id="{2BA12D5A-88A2-3220-EC19-2B5E65B336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521569</xdr:colOff>
      <xdr:row>45</xdr:row>
      <xdr:rowOff>241503</xdr:rowOff>
    </xdr:from>
    <xdr:to>
      <xdr:col>11</xdr:col>
      <xdr:colOff>145789</xdr:colOff>
      <xdr:row>62</xdr:row>
      <xdr:rowOff>87474</xdr:rowOff>
    </xdr:to>
    <xdr:graphicFrame macro="">
      <xdr:nvGraphicFramePr>
        <xdr:cNvPr id="4" name="Chart 3">
          <a:extLst>
            <a:ext uri="{FF2B5EF4-FFF2-40B4-BE49-F238E27FC236}">
              <a16:creationId xmlns:a16="http://schemas.microsoft.com/office/drawing/2014/main" id="{9CB571E5-1617-1D36-8216-F18355423E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928284</xdr:colOff>
      <xdr:row>46</xdr:row>
      <xdr:rowOff>8072</xdr:rowOff>
    </xdr:from>
    <xdr:to>
      <xdr:col>26</xdr:col>
      <xdr:colOff>234089</xdr:colOff>
      <xdr:row>67</xdr:row>
      <xdr:rowOff>0</xdr:rowOff>
    </xdr:to>
    <xdr:graphicFrame macro="">
      <xdr:nvGraphicFramePr>
        <xdr:cNvPr id="6" name="Chart 5">
          <a:extLst>
            <a:ext uri="{FF2B5EF4-FFF2-40B4-BE49-F238E27FC236}">
              <a16:creationId xmlns:a16="http://schemas.microsoft.com/office/drawing/2014/main" id="{DB305E9B-EDA6-4D3E-E4D6-BA84886F11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33386</xdr:colOff>
      <xdr:row>8</xdr:row>
      <xdr:rowOff>23572</xdr:rowOff>
    </xdr:from>
    <xdr:to>
      <xdr:col>3</xdr:col>
      <xdr:colOff>0</xdr:colOff>
      <xdr:row>15</xdr:row>
      <xdr:rowOff>4810</xdr:rowOff>
    </xdr:to>
    <xdr:sp macro="" textlink="">
      <xdr:nvSpPr>
        <xdr:cNvPr id="2" name="Rectangle 1">
          <a:extLst>
            <a:ext uri="{FF2B5EF4-FFF2-40B4-BE49-F238E27FC236}">
              <a16:creationId xmlns:a16="http://schemas.microsoft.com/office/drawing/2014/main" id="{66EAEAFF-ED61-57E9-003F-CF5BE801CDE9}"/>
            </a:ext>
          </a:extLst>
        </xdr:cNvPr>
        <xdr:cNvSpPr/>
      </xdr:nvSpPr>
      <xdr:spPr>
        <a:xfrm>
          <a:off x="2554144" y="2592436"/>
          <a:ext cx="2169871" cy="1260859"/>
        </a:xfrm>
        <a:prstGeom prst="rect">
          <a:avLst/>
        </a:prstGeom>
        <a:solidFill>
          <a:srgbClr val="F8F8F8"/>
        </a:solidFill>
        <a:ln>
          <a:solidFill>
            <a:schemeClr val="bg2">
              <a:lumMod val="90000"/>
            </a:schemeClr>
          </a:solidFill>
        </a:ln>
        <a:effectLst>
          <a:outerShdw blurRad="63500" sx="102000" sy="102000" algn="ctr" rotWithShape="0">
            <a:prstClr val="black">
              <a:alpha val="3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a:solidFill>
                <a:schemeClr val="tx2">
                  <a:lumMod val="90000"/>
                  <a:lumOff val="10000"/>
                </a:schemeClr>
              </a:solidFill>
            </a:rPr>
            <a:t>Revenue FY2025</a:t>
          </a:r>
        </a:p>
        <a:p>
          <a:pPr algn="l"/>
          <a:r>
            <a:rPr lang="en-US" sz="2400" b="1">
              <a:solidFill>
                <a:schemeClr val="tx2">
                  <a:lumMod val="90000"/>
                  <a:lumOff val="10000"/>
                </a:schemeClr>
              </a:solidFill>
            </a:rPr>
            <a:t>$24.2B</a:t>
          </a:r>
        </a:p>
        <a:p>
          <a:pPr algn="l"/>
          <a:r>
            <a:rPr lang="en-US" sz="1200">
              <a:solidFill>
                <a:srgbClr val="006600"/>
              </a:solidFill>
            </a:rPr>
            <a:t>  ▲</a:t>
          </a:r>
          <a:r>
            <a:rPr lang="en-US" sz="1200">
              <a:solidFill>
                <a:schemeClr val="tx2">
                  <a:lumMod val="90000"/>
                  <a:lumOff val="10000"/>
                </a:schemeClr>
              </a:solidFill>
            </a:rPr>
            <a:t>18.7% YoY </a:t>
          </a:r>
        </a:p>
      </xdr:txBody>
    </xdr:sp>
    <xdr:clientData/>
  </xdr:twoCellAnchor>
  <xdr:twoCellAnchor>
    <xdr:from>
      <xdr:col>30</xdr:col>
      <xdr:colOff>60612</xdr:colOff>
      <xdr:row>5</xdr:row>
      <xdr:rowOff>8660</xdr:rowOff>
    </xdr:from>
    <xdr:to>
      <xdr:col>31</xdr:col>
      <xdr:colOff>8658</xdr:colOff>
      <xdr:row>5</xdr:row>
      <xdr:rowOff>177512</xdr:rowOff>
    </xdr:to>
    <xdr:sp macro="" textlink="">
      <xdr:nvSpPr>
        <xdr:cNvPr id="2049" name="Text Box 1">
          <a:extLst>
            <a:ext uri="{FF2B5EF4-FFF2-40B4-BE49-F238E27FC236}">
              <a16:creationId xmlns:a16="http://schemas.microsoft.com/office/drawing/2014/main" id="{75A17C11-9285-E0D3-3598-93A3472354C5}"/>
            </a:ext>
          </a:extLst>
        </xdr:cNvPr>
        <xdr:cNvSpPr txBox="1">
          <a:spLocks noChangeArrowheads="1"/>
        </xdr:cNvSpPr>
      </xdr:nvSpPr>
      <xdr:spPr bwMode="auto">
        <a:xfrm>
          <a:off x="23080806" y="1935308"/>
          <a:ext cx="597477" cy="168852"/>
        </a:xfrm>
        <a:prstGeom prst="rect">
          <a:avLst/>
        </a:prstGeom>
        <a:solidFill>
          <a:srgbClr val="FFFFFF"/>
        </a:solidFill>
        <a:ln w="9525">
          <a:solidFill>
            <a:srgbClr val="000000"/>
          </a:solidFill>
          <a:miter lim="800000"/>
          <a:headEnd/>
          <a:tailEnd/>
        </a:ln>
      </xdr:spPr>
      <xdr:txBody>
        <a:bodyPr vertOverflow="clip" wrap="square" lIns="45720" tIns="45720" rIns="0" bIns="0" anchor="t" upright="1"/>
        <a:lstStyle/>
        <a:p>
          <a:pPr algn="l" rtl="0">
            <a:defRPr sz="1000"/>
          </a:pPr>
          <a:endParaRPr lang="en-US" sz="1100" b="0" i="0" u="none" strike="noStrike" baseline="0">
            <a:solidFill>
              <a:srgbClr val="000000"/>
            </a:solidFill>
            <a:latin typeface="Aptos Narrow"/>
          </a:endParaRPr>
        </a:p>
      </xdr:txBody>
    </xdr:sp>
    <xdr:clientData/>
  </xdr:twoCellAnchor>
  <xdr:twoCellAnchor>
    <xdr:from>
      <xdr:col>1</xdr:col>
      <xdr:colOff>6469</xdr:colOff>
      <xdr:row>9</xdr:row>
      <xdr:rowOff>91401</xdr:rowOff>
    </xdr:from>
    <xdr:to>
      <xdr:col>2</xdr:col>
      <xdr:colOff>1125682</xdr:colOff>
      <xdr:row>9</xdr:row>
      <xdr:rowOff>102973</xdr:rowOff>
    </xdr:to>
    <xdr:cxnSp macro="">
      <xdr:nvCxnSpPr>
        <xdr:cNvPr id="4" name="Straight Connector 3">
          <a:extLst>
            <a:ext uri="{FF2B5EF4-FFF2-40B4-BE49-F238E27FC236}">
              <a16:creationId xmlns:a16="http://schemas.microsoft.com/office/drawing/2014/main" id="{C01AA34C-5F4E-11F0-FCA7-33EAD0ABCAB9}"/>
            </a:ext>
          </a:extLst>
        </xdr:cNvPr>
        <xdr:cNvCxnSpPr/>
      </xdr:nvCxnSpPr>
      <xdr:spPr>
        <a:xfrm flipV="1">
          <a:off x="2527227" y="2843068"/>
          <a:ext cx="2191978" cy="11572"/>
        </a:xfrm>
        <a:prstGeom prst="line">
          <a:avLst/>
        </a:prstGeom>
        <a:ln w="12700">
          <a:solidFill>
            <a:schemeClr val="bg2">
              <a:lumMod val="9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968374</xdr:colOff>
      <xdr:row>8</xdr:row>
      <xdr:rowOff>33194</xdr:rowOff>
    </xdr:from>
    <xdr:to>
      <xdr:col>7</xdr:col>
      <xdr:colOff>639234</xdr:colOff>
      <xdr:row>14</xdr:row>
      <xdr:rowOff>177608</xdr:rowOff>
    </xdr:to>
    <xdr:sp macro="" textlink="">
      <xdr:nvSpPr>
        <xdr:cNvPr id="3" name="Rectangle 2">
          <a:extLst>
            <a:ext uri="{FF2B5EF4-FFF2-40B4-BE49-F238E27FC236}">
              <a16:creationId xmlns:a16="http://schemas.microsoft.com/office/drawing/2014/main" id="{FC6165D8-6917-44C5-A93B-90D1CA943C03}"/>
            </a:ext>
          </a:extLst>
        </xdr:cNvPr>
        <xdr:cNvSpPr/>
      </xdr:nvSpPr>
      <xdr:spPr>
        <a:xfrm>
          <a:off x="6510192" y="2003138"/>
          <a:ext cx="2212304" cy="1235459"/>
        </a:xfrm>
        <a:prstGeom prst="rect">
          <a:avLst/>
        </a:prstGeom>
        <a:solidFill>
          <a:srgbClr val="F8F8F8"/>
        </a:solidFill>
        <a:ln>
          <a:solidFill>
            <a:schemeClr val="bg2">
              <a:lumMod val="90000"/>
            </a:schemeClr>
          </a:solidFill>
        </a:ln>
        <a:effectLst>
          <a:outerShdw blurRad="63500" sx="102000" sy="102000" algn="ctr" rotWithShape="0">
            <a:prstClr val="black">
              <a:alpha val="3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chemeClr val="tx2"/>
              </a:solidFill>
            </a:rPr>
            <a:t>Net Income FY2025</a:t>
          </a:r>
        </a:p>
        <a:p>
          <a:pPr algn="l"/>
          <a:r>
            <a:rPr lang="en-US" sz="2400" b="1">
              <a:solidFill>
                <a:schemeClr val="tx2">
                  <a:lumMod val="90000"/>
                  <a:lumOff val="10000"/>
                </a:schemeClr>
              </a:solidFill>
            </a:rPr>
            <a:t>$5.55B</a:t>
          </a:r>
        </a:p>
        <a:p>
          <a:pPr algn="l"/>
          <a:r>
            <a:rPr lang="en-US" sz="1200"/>
            <a:t>      </a:t>
          </a:r>
          <a:r>
            <a:rPr lang="en-US" sz="1200" baseline="0"/>
            <a:t> </a:t>
          </a:r>
          <a:r>
            <a:rPr lang="en-US" sz="1200" b="0" baseline="0">
              <a:solidFill>
                <a:schemeClr val="tx2"/>
              </a:solidFill>
            </a:rPr>
            <a:t>12</a:t>
          </a:r>
          <a:r>
            <a:rPr lang="en-US" sz="1200" b="0">
              <a:solidFill>
                <a:schemeClr val="tx2"/>
              </a:solidFill>
            </a:rPr>
            <a:t>.8% </a:t>
          </a:r>
          <a:r>
            <a:rPr lang="en-US" sz="1200">
              <a:solidFill>
                <a:schemeClr val="tx2">
                  <a:lumMod val="90000"/>
                  <a:lumOff val="10000"/>
                </a:schemeClr>
              </a:solidFill>
            </a:rPr>
            <a:t>YoY </a:t>
          </a:r>
        </a:p>
      </xdr:txBody>
    </xdr:sp>
    <xdr:clientData/>
  </xdr:twoCellAnchor>
  <xdr:twoCellAnchor>
    <xdr:from>
      <xdr:col>5</xdr:col>
      <xdr:colOff>184285</xdr:colOff>
      <xdr:row>11</xdr:row>
      <xdr:rowOff>144212</xdr:rowOff>
    </xdr:from>
    <xdr:to>
      <xdr:col>5</xdr:col>
      <xdr:colOff>255722</xdr:colOff>
      <xdr:row>12</xdr:row>
      <xdr:rowOff>29912</xdr:rowOff>
    </xdr:to>
    <xdr:sp macro="" textlink="">
      <xdr:nvSpPr>
        <xdr:cNvPr id="7" name="Flowchart: Merge 6">
          <a:extLst>
            <a:ext uri="{FF2B5EF4-FFF2-40B4-BE49-F238E27FC236}">
              <a16:creationId xmlns:a16="http://schemas.microsoft.com/office/drawing/2014/main" id="{19F3F9F3-AE8E-375E-E3AF-07D4BB1DAE30}"/>
            </a:ext>
          </a:extLst>
        </xdr:cNvPr>
        <xdr:cNvSpPr/>
      </xdr:nvSpPr>
      <xdr:spPr>
        <a:xfrm>
          <a:off x="6699026" y="3247325"/>
          <a:ext cx="71437" cy="65417"/>
        </a:xfrm>
        <a:prstGeom prst="flowChartMerge">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10792</xdr:colOff>
      <xdr:row>18</xdr:row>
      <xdr:rowOff>143417</xdr:rowOff>
    </xdr:from>
    <xdr:to>
      <xdr:col>2</xdr:col>
      <xdr:colOff>1109239</xdr:colOff>
      <xdr:row>25</xdr:row>
      <xdr:rowOff>48227</xdr:rowOff>
    </xdr:to>
    <xdr:sp macro="" textlink="">
      <xdr:nvSpPr>
        <xdr:cNvPr id="8" name="Rectangle 7">
          <a:extLst>
            <a:ext uri="{FF2B5EF4-FFF2-40B4-BE49-F238E27FC236}">
              <a16:creationId xmlns:a16="http://schemas.microsoft.com/office/drawing/2014/main" id="{C70E2219-B81B-461C-84DB-F1257115AC4C}"/>
            </a:ext>
          </a:extLst>
        </xdr:cNvPr>
        <xdr:cNvSpPr/>
      </xdr:nvSpPr>
      <xdr:spPr>
        <a:xfrm>
          <a:off x="2530697" y="4514066"/>
          <a:ext cx="2171517" cy="1170791"/>
        </a:xfrm>
        <a:prstGeom prst="rect">
          <a:avLst/>
        </a:prstGeom>
        <a:solidFill>
          <a:srgbClr val="F8F8F8"/>
        </a:solidFill>
        <a:ln>
          <a:solidFill>
            <a:schemeClr val="bg2">
              <a:lumMod val="90000"/>
            </a:schemeClr>
          </a:solidFill>
        </a:ln>
        <a:effectLst>
          <a:outerShdw blurRad="63500" sx="102000" sy="102000" algn="ctr" rotWithShape="0">
            <a:prstClr val="black">
              <a:alpha val="3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chemeClr val="tx2"/>
              </a:solidFill>
            </a:rPr>
            <a:t>Diluted EPS FY2025</a:t>
          </a:r>
        </a:p>
        <a:p>
          <a:pPr algn="l"/>
          <a:r>
            <a:rPr lang="en-US" sz="2400" b="1">
              <a:solidFill>
                <a:schemeClr val="tx2">
                  <a:lumMod val="90000"/>
                  <a:lumOff val="10000"/>
                </a:schemeClr>
              </a:solidFill>
            </a:rPr>
            <a:t>$35.31</a:t>
          </a:r>
        </a:p>
        <a:p>
          <a:pPr algn="l"/>
          <a:r>
            <a:rPr lang="en-US" sz="1200"/>
            <a:t>       </a:t>
          </a:r>
          <a:r>
            <a:rPr lang="en-US" sz="1200" b="0">
              <a:solidFill>
                <a:schemeClr val="tx2"/>
              </a:solidFill>
            </a:rPr>
            <a:t>15.9% </a:t>
          </a:r>
          <a:r>
            <a:rPr lang="en-US" sz="1200">
              <a:solidFill>
                <a:schemeClr val="tx2">
                  <a:lumMod val="90000"/>
                  <a:lumOff val="10000"/>
                </a:schemeClr>
              </a:solidFill>
            </a:rPr>
            <a:t>YoY </a:t>
          </a:r>
        </a:p>
      </xdr:txBody>
    </xdr:sp>
    <xdr:clientData/>
  </xdr:twoCellAnchor>
  <xdr:twoCellAnchor>
    <xdr:from>
      <xdr:col>1</xdr:col>
      <xdr:colOff>198410</xdr:colOff>
      <xdr:row>22</xdr:row>
      <xdr:rowOff>86967</xdr:rowOff>
    </xdr:from>
    <xdr:to>
      <xdr:col>1</xdr:col>
      <xdr:colOff>269847</xdr:colOff>
      <xdr:row>22</xdr:row>
      <xdr:rowOff>153162</xdr:rowOff>
    </xdr:to>
    <xdr:sp macro="" textlink="">
      <xdr:nvSpPr>
        <xdr:cNvPr id="9" name="Flowchart: Merge 8">
          <a:extLst>
            <a:ext uri="{FF2B5EF4-FFF2-40B4-BE49-F238E27FC236}">
              <a16:creationId xmlns:a16="http://schemas.microsoft.com/office/drawing/2014/main" id="{EF60EA46-D13A-4C77-A5A0-5377863F7889}"/>
            </a:ext>
          </a:extLst>
        </xdr:cNvPr>
        <xdr:cNvSpPr/>
      </xdr:nvSpPr>
      <xdr:spPr>
        <a:xfrm>
          <a:off x="2716841" y="5188537"/>
          <a:ext cx="71437" cy="66195"/>
        </a:xfrm>
        <a:prstGeom prst="flowChartMerge">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960549</xdr:colOff>
      <xdr:row>9</xdr:row>
      <xdr:rowOff>92460</xdr:rowOff>
    </xdr:from>
    <xdr:to>
      <xdr:col>7</xdr:col>
      <xdr:colOff>636625</xdr:colOff>
      <xdr:row>9</xdr:row>
      <xdr:rowOff>97219</xdr:rowOff>
    </xdr:to>
    <xdr:cxnSp macro="">
      <xdr:nvCxnSpPr>
        <xdr:cNvPr id="10" name="Straight Connector 9">
          <a:extLst>
            <a:ext uri="{FF2B5EF4-FFF2-40B4-BE49-F238E27FC236}">
              <a16:creationId xmlns:a16="http://schemas.microsoft.com/office/drawing/2014/main" id="{DB245D9F-53AB-416B-AD75-EE23DF71BA47}"/>
            </a:ext>
          </a:extLst>
        </xdr:cNvPr>
        <xdr:cNvCxnSpPr/>
      </xdr:nvCxnSpPr>
      <xdr:spPr>
        <a:xfrm>
          <a:off x="6498828" y="2836139"/>
          <a:ext cx="2213080" cy="4759"/>
        </a:xfrm>
        <a:prstGeom prst="line">
          <a:avLst/>
        </a:prstGeom>
        <a:ln w="12700">
          <a:solidFill>
            <a:schemeClr val="bg2">
              <a:lumMod val="9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18375</xdr:colOff>
      <xdr:row>20</xdr:row>
      <xdr:rowOff>15530</xdr:rowOff>
    </xdr:from>
    <xdr:to>
      <xdr:col>2</xdr:col>
      <xdr:colOff>1112976</xdr:colOff>
      <xdr:row>20</xdr:row>
      <xdr:rowOff>27377</xdr:rowOff>
    </xdr:to>
    <xdr:cxnSp macro="">
      <xdr:nvCxnSpPr>
        <xdr:cNvPr id="15" name="Straight Connector 14">
          <a:extLst>
            <a:ext uri="{FF2B5EF4-FFF2-40B4-BE49-F238E27FC236}">
              <a16:creationId xmlns:a16="http://schemas.microsoft.com/office/drawing/2014/main" id="{5B61FC97-8FA0-419B-8135-048B24B3237C}"/>
            </a:ext>
          </a:extLst>
        </xdr:cNvPr>
        <xdr:cNvCxnSpPr/>
      </xdr:nvCxnSpPr>
      <xdr:spPr>
        <a:xfrm flipV="1">
          <a:off x="2536806" y="4754735"/>
          <a:ext cx="2166163" cy="11847"/>
        </a:xfrm>
        <a:prstGeom prst="line">
          <a:avLst/>
        </a:prstGeom>
        <a:ln w="12700">
          <a:solidFill>
            <a:schemeClr val="bg2">
              <a:lumMod val="9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17558</xdr:colOff>
      <xdr:row>18</xdr:row>
      <xdr:rowOff>151040</xdr:rowOff>
    </xdr:from>
    <xdr:to>
      <xdr:col>8</xdr:col>
      <xdr:colOff>25400</xdr:colOff>
      <xdr:row>25</xdr:row>
      <xdr:rowOff>31749</xdr:rowOff>
    </xdr:to>
    <xdr:sp macro="" textlink="">
      <xdr:nvSpPr>
        <xdr:cNvPr id="17" name="Rectangle 16">
          <a:extLst>
            <a:ext uri="{FF2B5EF4-FFF2-40B4-BE49-F238E27FC236}">
              <a16:creationId xmlns:a16="http://schemas.microsoft.com/office/drawing/2014/main" id="{D910923C-7966-44E7-B534-E1DDA0B5D84F}"/>
            </a:ext>
          </a:extLst>
        </xdr:cNvPr>
        <xdr:cNvSpPr/>
      </xdr:nvSpPr>
      <xdr:spPr>
        <a:xfrm>
          <a:off x="6539009" y="4570640"/>
          <a:ext cx="2223991" cy="1169760"/>
        </a:xfrm>
        <a:prstGeom prst="rect">
          <a:avLst/>
        </a:prstGeom>
        <a:solidFill>
          <a:srgbClr val="F8F8F8"/>
        </a:solidFill>
        <a:ln>
          <a:solidFill>
            <a:schemeClr val="bg2">
              <a:lumMod val="90000"/>
            </a:schemeClr>
          </a:solidFill>
        </a:ln>
        <a:effectLst>
          <a:outerShdw blurRad="63500" sx="102000" sy="102000" algn="ctr" rotWithShape="0">
            <a:prstClr val="black">
              <a:alpha val="3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chemeClr val="tx2"/>
              </a:solidFill>
            </a:rPr>
            <a:t>Total</a:t>
          </a:r>
          <a:r>
            <a:rPr lang="en-US" sz="1200" baseline="0">
              <a:solidFill>
                <a:schemeClr val="tx2"/>
              </a:solidFill>
            </a:rPr>
            <a:t> AUM</a:t>
          </a:r>
          <a:endParaRPr lang="en-US" sz="1200">
            <a:solidFill>
              <a:schemeClr val="tx2"/>
            </a:solidFill>
          </a:endParaRPr>
        </a:p>
        <a:p>
          <a:pPr algn="l"/>
          <a:r>
            <a:rPr lang="en-US" sz="2400" b="1">
              <a:solidFill>
                <a:schemeClr val="tx2">
                  <a:lumMod val="90000"/>
                  <a:lumOff val="10000"/>
                </a:schemeClr>
              </a:solidFill>
            </a:rPr>
            <a:t>$14.04T</a:t>
          </a:r>
          <a:r>
            <a:rPr lang="en-US" sz="1200" b="1">
              <a:solidFill>
                <a:schemeClr val="tx2">
                  <a:lumMod val="90000"/>
                  <a:lumOff val="10000"/>
                </a:schemeClr>
              </a:solidFill>
            </a:rPr>
            <a:t>     </a:t>
          </a:r>
        </a:p>
        <a:p>
          <a:pPr algn="l"/>
          <a:r>
            <a:rPr lang="en-US" sz="1200" b="0">
              <a:solidFill>
                <a:schemeClr val="tx2"/>
              </a:solidFill>
            </a:rPr>
            <a:t>  </a:t>
          </a:r>
          <a:r>
            <a:rPr lang="en-US" sz="1100">
              <a:solidFill>
                <a:srgbClr val="006600"/>
              </a:solidFill>
              <a:effectLst/>
              <a:latin typeface="+mn-lt"/>
              <a:ea typeface="+mn-ea"/>
              <a:cs typeface="+mn-cs"/>
            </a:rPr>
            <a:t>▲</a:t>
          </a:r>
          <a:r>
            <a:rPr lang="en-US" sz="1200" b="0">
              <a:solidFill>
                <a:schemeClr val="tx2"/>
              </a:solidFill>
            </a:rPr>
            <a:t> 21.6% </a:t>
          </a:r>
          <a:r>
            <a:rPr lang="en-US" sz="1200">
              <a:solidFill>
                <a:schemeClr val="tx2">
                  <a:lumMod val="90000"/>
                  <a:lumOff val="10000"/>
                </a:schemeClr>
              </a:solidFill>
            </a:rPr>
            <a:t>YoY </a:t>
          </a:r>
        </a:p>
      </xdr:txBody>
    </xdr:sp>
    <xdr:clientData/>
  </xdr:twoCellAnchor>
  <xdr:twoCellAnchor>
    <xdr:from>
      <xdr:col>4</xdr:col>
      <xdr:colOff>17600</xdr:colOff>
      <xdr:row>34</xdr:row>
      <xdr:rowOff>152918</xdr:rowOff>
    </xdr:from>
    <xdr:to>
      <xdr:col>10</xdr:col>
      <xdr:colOff>88003</xdr:colOff>
      <xdr:row>48</xdr:row>
      <xdr:rowOff>62119</xdr:rowOff>
    </xdr:to>
    <xdr:graphicFrame macro="">
      <xdr:nvGraphicFramePr>
        <xdr:cNvPr id="19" name="Chart 18">
          <a:extLst>
            <a:ext uri="{FF2B5EF4-FFF2-40B4-BE49-F238E27FC236}">
              <a16:creationId xmlns:a16="http://schemas.microsoft.com/office/drawing/2014/main" id="{28201DE6-07EE-2BFE-77F8-F36BEE5063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14137</xdr:colOff>
      <xdr:row>20</xdr:row>
      <xdr:rowOff>31921</xdr:rowOff>
    </xdr:from>
    <xdr:to>
      <xdr:col>8</xdr:col>
      <xdr:colOff>29017</xdr:colOff>
      <xdr:row>20</xdr:row>
      <xdr:rowOff>37316</xdr:rowOff>
    </xdr:to>
    <xdr:cxnSp macro="">
      <xdr:nvCxnSpPr>
        <xdr:cNvPr id="20" name="Straight Connector 19">
          <a:extLst>
            <a:ext uri="{FF2B5EF4-FFF2-40B4-BE49-F238E27FC236}">
              <a16:creationId xmlns:a16="http://schemas.microsoft.com/office/drawing/2014/main" id="{E57499CB-9073-4FB9-96A7-F03F585B33F6}"/>
            </a:ext>
          </a:extLst>
        </xdr:cNvPr>
        <xdr:cNvCxnSpPr/>
      </xdr:nvCxnSpPr>
      <xdr:spPr>
        <a:xfrm>
          <a:off x="6528878" y="4752487"/>
          <a:ext cx="2222403" cy="5395"/>
        </a:xfrm>
        <a:prstGeom prst="line">
          <a:avLst/>
        </a:prstGeom>
        <a:ln w="12700">
          <a:solidFill>
            <a:schemeClr val="bg2">
              <a:lumMod val="9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Custom 2">
      <a:dk1>
        <a:sysClr val="windowText" lastClr="000000"/>
      </a:dk1>
      <a:lt1>
        <a:sysClr val="window" lastClr="FFFFFF"/>
      </a:lt1>
      <a:dk2>
        <a:srgbClr val="0E2841"/>
      </a:dk2>
      <a:lt2>
        <a:srgbClr val="E8E8E8"/>
      </a:lt2>
      <a:accent1>
        <a:srgbClr val="A6C9EB"/>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3" Type="http://schemas.openxmlformats.org/officeDocument/2006/relationships/hyperlink" Target="https://ir.blackrock.com/financials/sec-filings/default.aspx?" TargetMode="External"/><Relationship Id="rId2" Type="http://schemas.openxmlformats.org/officeDocument/2006/relationships/hyperlink" Target="https://ir.blackrock.com/home/?" TargetMode="External"/><Relationship Id="rId1" Type="http://schemas.openxmlformats.org/officeDocument/2006/relationships/hyperlink" Target="https://ir.blackrock.com/financials/annual-reports-and-proxy/default.aspx?" TargetMode="External"/><Relationship Id="rId6" Type="http://schemas.openxmlformats.org/officeDocument/2006/relationships/printerSettings" Target="../printerSettings/printerSettings3.bin"/><Relationship Id="rId5" Type="http://schemas.openxmlformats.org/officeDocument/2006/relationships/hyperlink" Target="https://www.macrotrends.net/stocks/charts/BLK/blackrock/financial-statements?" TargetMode="External"/><Relationship Id="rId4" Type="http://schemas.openxmlformats.org/officeDocument/2006/relationships/hyperlink" Target="https://finance.yahoo.com/quote/BL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36804-8E56-48E0-AFFF-87827DC982FD}">
  <dimension ref="A3:U6"/>
  <sheetViews>
    <sheetView workbookViewId="0">
      <selection activeCell="G14" sqref="G14"/>
    </sheetView>
  </sheetViews>
  <sheetFormatPr defaultRowHeight="14.25"/>
  <sheetData>
    <row r="3" spans="1:21" s="1" customFormat="1" ht="22.5" customHeight="1">
      <c r="A3" s="102" t="s">
        <v>322</v>
      </c>
      <c r="B3" s="102"/>
      <c r="C3" s="102"/>
      <c r="D3" s="102"/>
      <c r="E3" s="102"/>
      <c r="F3" s="102"/>
      <c r="G3" s="102"/>
      <c r="H3" s="102"/>
      <c r="I3" s="102"/>
      <c r="J3" s="102"/>
      <c r="K3" s="102"/>
      <c r="L3" s="102"/>
      <c r="M3" s="102"/>
      <c r="N3" s="102"/>
      <c r="O3" s="102"/>
      <c r="P3" s="102"/>
      <c r="Q3" s="102"/>
      <c r="R3" s="102"/>
      <c r="S3" s="100"/>
      <c r="T3" s="100"/>
      <c r="U3" s="101"/>
    </row>
    <row r="4" spans="1:21" s="1" customFormat="1" ht="22.9" customHeight="1">
      <c r="A4" s="102" t="s">
        <v>0</v>
      </c>
      <c r="B4" s="102"/>
      <c r="C4" s="102"/>
      <c r="D4" s="102"/>
      <c r="E4" s="102"/>
      <c r="F4" s="102"/>
      <c r="G4" s="102"/>
      <c r="H4" s="102"/>
      <c r="I4" s="102"/>
      <c r="J4" s="102"/>
      <c r="K4" s="102"/>
      <c r="L4" s="102"/>
      <c r="M4" s="102"/>
      <c r="N4" s="102"/>
      <c r="O4" s="102"/>
      <c r="P4" s="102"/>
      <c r="Q4" s="102"/>
      <c r="R4" s="102"/>
      <c r="S4" s="100"/>
      <c r="T4" s="100"/>
      <c r="U4" s="101"/>
    </row>
    <row r="5" spans="1:21" s="1" customFormat="1" ht="22.15" customHeight="1">
      <c r="A5" s="102" t="s">
        <v>1</v>
      </c>
      <c r="B5" s="102"/>
      <c r="C5" s="102"/>
      <c r="D5" s="102"/>
      <c r="E5" s="102"/>
      <c r="F5" s="102"/>
      <c r="G5" s="102"/>
      <c r="H5" s="102"/>
      <c r="I5" s="102"/>
      <c r="J5" s="102"/>
      <c r="K5" s="102"/>
      <c r="L5" s="102"/>
      <c r="M5" s="102"/>
      <c r="N5" s="102"/>
      <c r="O5" s="102"/>
      <c r="P5" s="102"/>
      <c r="Q5" s="102"/>
      <c r="R5" s="102"/>
      <c r="S5" s="100"/>
      <c r="T5" s="100"/>
      <c r="U5" s="101"/>
    </row>
    <row r="6" spans="1:21" s="1" customFormat="1" ht="24.4" customHeight="1">
      <c r="A6" s="102" t="s">
        <v>199</v>
      </c>
      <c r="B6" s="102"/>
      <c r="C6" s="102"/>
      <c r="D6" s="102"/>
      <c r="E6" s="102"/>
      <c r="F6" s="102"/>
      <c r="G6" s="102"/>
      <c r="H6" s="102"/>
      <c r="I6" s="102"/>
      <c r="J6" s="102"/>
      <c r="K6" s="102"/>
      <c r="L6" s="102"/>
      <c r="M6" s="102"/>
      <c r="N6" s="102"/>
      <c r="O6" s="102"/>
      <c r="P6" s="102"/>
      <c r="Q6" s="102"/>
      <c r="R6" s="102"/>
      <c r="S6" s="100"/>
      <c r="T6" s="100"/>
      <c r="U6" s="10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81637-634C-402F-892B-D2A6AF126355}">
  <dimension ref="A2:N42"/>
  <sheetViews>
    <sheetView zoomScale="48" zoomScaleNormal="75" workbookViewId="0">
      <selection activeCell="G8" sqref="G8"/>
    </sheetView>
  </sheetViews>
  <sheetFormatPr defaultRowHeight="14.25"/>
  <cols>
    <col min="1" max="1" width="67.59765625" customWidth="1"/>
    <col min="2" max="2" width="21.53125" customWidth="1"/>
    <col min="3" max="3" width="18.86328125" customWidth="1"/>
    <col min="4" max="4" width="18.46484375" customWidth="1"/>
    <col min="5" max="6" width="29.3984375" customWidth="1"/>
    <col min="7" max="7" width="69.796875" style="4" customWidth="1"/>
  </cols>
  <sheetData>
    <row r="2" spans="1:14" ht="20.25">
      <c r="A2" s="8"/>
      <c r="B2" s="47"/>
      <c r="C2" s="47"/>
      <c r="D2" s="48" t="s">
        <v>3</v>
      </c>
      <c r="E2" s="48"/>
      <c r="F2" s="49"/>
      <c r="G2" s="3"/>
      <c r="M2" s="3"/>
      <c r="N2" s="3"/>
    </row>
    <row r="3" spans="1:14" ht="20.25">
      <c r="A3" s="8"/>
      <c r="B3" s="47"/>
      <c r="C3" s="47"/>
      <c r="D3" s="48" t="s">
        <v>4</v>
      </c>
      <c r="E3" s="48"/>
      <c r="F3" s="49"/>
      <c r="G3" s="3"/>
      <c r="M3" s="3"/>
      <c r="N3" s="3"/>
    </row>
    <row r="4" spans="1:14" ht="20.25">
      <c r="A4" s="8"/>
      <c r="B4" s="47"/>
      <c r="C4" s="47"/>
      <c r="D4" s="48" t="s">
        <v>5</v>
      </c>
      <c r="E4" s="48"/>
      <c r="F4" s="49"/>
      <c r="G4" s="3"/>
      <c r="M4" s="3"/>
      <c r="N4" s="3"/>
    </row>
    <row r="5" spans="1:14" ht="20.25">
      <c r="A5" s="8"/>
      <c r="B5" s="47"/>
      <c r="C5" s="47"/>
      <c r="D5" s="48" t="s">
        <v>6</v>
      </c>
      <c r="E5" s="48"/>
      <c r="F5" s="48"/>
      <c r="G5" s="3"/>
      <c r="M5" s="3"/>
      <c r="N5" s="3"/>
    </row>
    <row r="6" spans="1:14">
      <c r="A6" s="8"/>
      <c r="B6" s="8"/>
      <c r="C6" s="3"/>
      <c r="D6" s="3"/>
      <c r="E6" s="3"/>
      <c r="F6" s="3"/>
      <c r="G6" s="3"/>
      <c r="M6" s="3"/>
      <c r="N6" s="3"/>
    </row>
    <row r="7" spans="1:14" ht="25.15" customHeight="1">
      <c r="A7" s="16" t="s">
        <v>7</v>
      </c>
      <c r="B7" s="16" t="s">
        <v>68</v>
      </c>
      <c r="C7" s="16" t="s">
        <v>69</v>
      </c>
      <c r="D7" s="16" t="s">
        <v>70</v>
      </c>
      <c r="E7" s="17" t="s">
        <v>34</v>
      </c>
      <c r="F7" s="17" t="s">
        <v>35</v>
      </c>
      <c r="G7" s="17" t="s">
        <v>24</v>
      </c>
    </row>
    <row r="8" spans="1:14" ht="41.65" customHeight="1">
      <c r="A8" s="21" t="s">
        <v>8</v>
      </c>
      <c r="B8" s="29">
        <v>19179</v>
      </c>
      <c r="C8" s="29">
        <v>16100</v>
      </c>
      <c r="D8" s="29">
        <v>14399</v>
      </c>
      <c r="E8" s="34">
        <f t="shared" ref="E8:E13" si="0">(B8-C8)/C8</f>
        <v>0.19124223602484472</v>
      </c>
      <c r="F8" s="34">
        <f t="shared" ref="F8:F18" si="1">(C8-D8)/D8</f>
        <v>0.11813320369470102</v>
      </c>
      <c r="G8" s="36" t="s">
        <v>51</v>
      </c>
    </row>
    <row r="9" spans="1:14" ht="39.75" customHeight="1">
      <c r="A9" s="21" t="s">
        <v>9</v>
      </c>
      <c r="B9" s="29">
        <v>1424</v>
      </c>
      <c r="C9" s="29">
        <v>1207</v>
      </c>
      <c r="D9" s="30">
        <v>554</v>
      </c>
      <c r="E9" s="34">
        <f t="shared" si="0"/>
        <v>0.17978458989229495</v>
      </c>
      <c r="F9" s="34">
        <f t="shared" si="1"/>
        <v>1.1787003610108304</v>
      </c>
      <c r="G9" s="36" t="s">
        <v>36</v>
      </c>
    </row>
    <row r="10" spans="1:14" ht="43.15" customHeight="1">
      <c r="A10" s="21" t="s">
        <v>10</v>
      </c>
      <c r="B10" s="29">
        <v>1981</v>
      </c>
      <c r="C10" s="29">
        <v>1603</v>
      </c>
      <c r="D10" s="29">
        <v>1485</v>
      </c>
      <c r="E10" s="35">
        <f t="shared" si="0"/>
        <v>0.23580786026200873</v>
      </c>
      <c r="F10" s="35">
        <f t="shared" si="1"/>
        <v>7.9461279461279455E-2</v>
      </c>
      <c r="G10" s="36" t="s">
        <v>53</v>
      </c>
    </row>
    <row r="11" spans="1:14" ht="47.25" customHeight="1">
      <c r="A11" s="21" t="s">
        <v>11</v>
      </c>
      <c r="B11" s="29">
        <v>1355</v>
      </c>
      <c r="C11" s="29">
        <v>1273</v>
      </c>
      <c r="D11" s="29">
        <v>1262</v>
      </c>
      <c r="E11" s="35">
        <f t="shared" si="0"/>
        <v>6.4414768263943434E-2</v>
      </c>
      <c r="F11" s="35">
        <f t="shared" si="1"/>
        <v>8.7163232963549924E-3</v>
      </c>
      <c r="G11" s="36" t="s">
        <v>54</v>
      </c>
    </row>
    <row r="12" spans="1:14" ht="43.15" customHeight="1">
      <c r="A12" s="21" t="s">
        <v>12</v>
      </c>
      <c r="B12" s="30">
        <v>277</v>
      </c>
      <c r="C12" s="30">
        <v>224</v>
      </c>
      <c r="D12" s="30">
        <v>159</v>
      </c>
      <c r="E12" s="35">
        <f t="shared" si="0"/>
        <v>0.23660714285714285</v>
      </c>
      <c r="F12" s="35">
        <f t="shared" si="1"/>
        <v>0.4088050314465409</v>
      </c>
      <c r="G12" s="36" t="s">
        <v>37</v>
      </c>
    </row>
    <row r="13" spans="1:14" ht="72" customHeight="1">
      <c r="A13" s="22" t="s">
        <v>13</v>
      </c>
      <c r="B13" s="31">
        <f>SUM(B8:B12)</f>
        <v>24216</v>
      </c>
      <c r="C13" s="31">
        <f>SUM(C8:C12)</f>
        <v>20407</v>
      </c>
      <c r="D13" s="31">
        <f>SUM(D8:D12)</f>
        <v>17859</v>
      </c>
      <c r="E13" s="35">
        <f t="shared" si="0"/>
        <v>0.18665163914343116</v>
      </c>
      <c r="F13" s="35">
        <f t="shared" si="1"/>
        <v>0.14267316199115293</v>
      </c>
      <c r="G13" s="36" t="s">
        <v>52</v>
      </c>
    </row>
    <row r="14" spans="1:14" ht="42" customHeight="1">
      <c r="A14" s="21" t="s">
        <v>14</v>
      </c>
      <c r="B14" s="29">
        <v>8446</v>
      </c>
      <c r="C14" s="29">
        <v>6546</v>
      </c>
      <c r="D14" s="29">
        <v>5779</v>
      </c>
      <c r="E14" s="35">
        <f>(B14-C14)/C14</f>
        <v>0.29025358997861289</v>
      </c>
      <c r="F14" s="35">
        <f t="shared" si="1"/>
        <v>0.13272192420834053</v>
      </c>
      <c r="G14" s="36" t="s">
        <v>55</v>
      </c>
    </row>
    <row r="15" spans="1:14" ht="39.75" customHeight="1">
      <c r="A15" s="21" t="s">
        <v>15</v>
      </c>
      <c r="B15" s="29">
        <v>2460</v>
      </c>
      <c r="C15" s="29">
        <v>2171</v>
      </c>
      <c r="D15" s="29">
        <v>2051</v>
      </c>
      <c r="E15" s="35">
        <f>(B15-C15)/C15</f>
        <v>0.13311837862736067</v>
      </c>
      <c r="F15" s="35">
        <f t="shared" si="1"/>
        <v>5.8508044856167722E-2</v>
      </c>
      <c r="G15" s="36" t="s">
        <v>56</v>
      </c>
    </row>
    <row r="16" spans="1:14" ht="42" customHeight="1">
      <c r="A16" s="21" t="s">
        <v>16</v>
      </c>
      <c r="B16" s="29">
        <v>1767</v>
      </c>
      <c r="C16" s="29">
        <v>1464</v>
      </c>
      <c r="D16" s="29">
        <v>1331</v>
      </c>
      <c r="E16" s="35">
        <f>(B16-C16)/C16</f>
        <v>0.20696721311475411</v>
      </c>
      <c r="F16" s="35">
        <f t="shared" si="1"/>
        <v>9.9924868519909837E-2</v>
      </c>
      <c r="G16" s="36" t="s">
        <v>50</v>
      </c>
    </row>
    <row r="17" spans="1:7" ht="37.15" customHeight="1">
      <c r="A17" s="21" t="s">
        <v>25</v>
      </c>
      <c r="B17" s="29">
        <v>233</v>
      </c>
      <c r="C17" s="29">
        <v>140</v>
      </c>
      <c r="D17" s="29">
        <v>116</v>
      </c>
      <c r="E17" s="35">
        <f>(B17-C17)/C17</f>
        <v>0.66428571428571426</v>
      </c>
      <c r="F17" s="35">
        <f t="shared" si="1"/>
        <v>0.20689655172413793</v>
      </c>
      <c r="G17" s="36" t="s">
        <v>57</v>
      </c>
    </row>
    <row r="18" spans="1:7" ht="43.5" customHeight="1">
      <c r="A18" s="21" t="s">
        <v>17</v>
      </c>
      <c r="B18" s="29">
        <v>2731</v>
      </c>
      <c r="C18" s="29">
        <v>2257</v>
      </c>
      <c r="D18" s="29">
        <v>2092</v>
      </c>
      <c r="E18" s="35">
        <f>(B18-C18)/C18</f>
        <v>0.21001329198050508</v>
      </c>
      <c r="F18" s="35">
        <f t="shared" si="1"/>
        <v>7.8871892925430204E-2</v>
      </c>
      <c r="G18" s="36" t="s">
        <v>58</v>
      </c>
    </row>
    <row r="19" spans="1:7" ht="37.15" customHeight="1">
      <c r="A19" s="23" t="s">
        <v>26</v>
      </c>
      <c r="B19" s="29">
        <v>720</v>
      </c>
      <c r="C19" s="29">
        <v>-36</v>
      </c>
      <c r="D19" s="29">
        <v>3</v>
      </c>
      <c r="E19" s="35" t="s">
        <v>33</v>
      </c>
      <c r="F19" s="35" t="s">
        <v>33</v>
      </c>
      <c r="G19" s="36" t="s">
        <v>38</v>
      </c>
    </row>
    <row r="20" spans="1:7" ht="37.15" customHeight="1">
      <c r="A20" s="23" t="s">
        <v>27</v>
      </c>
      <c r="B20" s="29">
        <v>39</v>
      </c>
      <c r="C20" s="29">
        <v>0</v>
      </c>
      <c r="D20" s="29">
        <v>61</v>
      </c>
      <c r="E20" s="35" t="s">
        <v>33</v>
      </c>
      <c r="F20" s="35">
        <f t="shared" ref="F20:F31" si="2">(C20-D20)/D20</f>
        <v>-1</v>
      </c>
      <c r="G20" s="36" t="s">
        <v>39</v>
      </c>
    </row>
    <row r="21" spans="1:7" ht="39.4" customHeight="1">
      <c r="A21" s="23" t="s">
        <v>28</v>
      </c>
      <c r="B21" s="29">
        <v>775</v>
      </c>
      <c r="C21" s="29">
        <v>291</v>
      </c>
      <c r="D21" s="29">
        <v>151</v>
      </c>
      <c r="E21" s="35">
        <f t="shared" ref="E21:E31" si="3">(B21-C21)/C21</f>
        <v>1.6632302405498283</v>
      </c>
      <c r="F21" s="35">
        <f t="shared" si="2"/>
        <v>0.92715231788079466</v>
      </c>
      <c r="G21" s="36" t="s">
        <v>40</v>
      </c>
    </row>
    <row r="22" spans="1:7" ht="40.5" customHeight="1">
      <c r="A22" s="24" t="s">
        <v>18</v>
      </c>
      <c r="B22" s="31">
        <f>SUM(B14:B21)</f>
        <v>17171</v>
      </c>
      <c r="C22" s="31">
        <f>SUM(C14:C21)</f>
        <v>12833</v>
      </c>
      <c r="D22" s="31">
        <f>SUM(D14:D21)</f>
        <v>11584</v>
      </c>
      <c r="E22" s="35">
        <f t="shared" si="3"/>
        <v>0.33803475414945844</v>
      </c>
      <c r="F22" s="35">
        <f t="shared" si="2"/>
        <v>0.10782113259668508</v>
      </c>
      <c r="G22" s="36" t="s">
        <v>59</v>
      </c>
    </row>
    <row r="23" spans="1:7" ht="40.5" customHeight="1">
      <c r="A23" s="25" t="s">
        <v>19</v>
      </c>
      <c r="B23" s="32">
        <f>B13-B22</f>
        <v>7045</v>
      </c>
      <c r="C23" s="32">
        <f>C13-C22</f>
        <v>7574</v>
      </c>
      <c r="D23" s="32">
        <f>D13-D22</f>
        <v>6275</v>
      </c>
      <c r="E23" s="35">
        <f t="shared" si="3"/>
        <v>-6.9844203855294426E-2</v>
      </c>
      <c r="F23" s="35">
        <f t="shared" si="2"/>
        <v>0.20701195219123505</v>
      </c>
      <c r="G23" s="36" t="s">
        <v>41</v>
      </c>
    </row>
    <row r="24" spans="1:7" ht="40.9" customHeight="1">
      <c r="A24" s="23" t="s">
        <v>29</v>
      </c>
      <c r="B24" s="30">
        <v>634</v>
      </c>
      <c r="C24" s="30">
        <v>492</v>
      </c>
      <c r="D24" s="30">
        <v>699</v>
      </c>
      <c r="E24" s="35">
        <f t="shared" si="3"/>
        <v>0.2886178861788618</v>
      </c>
      <c r="F24" s="35">
        <f t="shared" si="2"/>
        <v>-0.29613733905579398</v>
      </c>
      <c r="G24" s="36" t="s">
        <v>42</v>
      </c>
    </row>
    <row r="25" spans="1:7" ht="43.15" customHeight="1">
      <c r="A25" s="23" t="s">
        <v>30</v>
      </c>
      <c r="B25" s="30">
        <v>554</v>
      </c>
      <c r="C25" s="30">
        <v>767</v>
      </c>
      <c r="D25" s="30">
        <v>473</v>
      </c>
      <c r="E25" s="35">
        <f t="shared" si="3"/>
        <v>-0.27770534550195569</v>
      </c>
      <c r="F25" s="35">
        <f t="shared" si="2"/>
        <v>0.62156448202959835</v>
      </c>
      <c r="G25" s="36" t="s">
        <v>43</v>
      </c>
    </row>
    <row r="26" spans="1:7" ht="45.4" customHeight="1">
      <c r="A26" s="23" t="s">
        <v>31</v>
      </c>
      <c r="B26" s="30">
        <v>-614</v>
      </c>
      <c r="C26" s="30">
        <v>-538</v>
      </c>
      <c r="D26" s="30">
        <v>-292</v>
      </c>
      <c r="E26" s="35">
        <f t="shared" si="3"/>
        <v>0.14126394052044611</v>
      </c>
      <c r="F26" s="35">
        <f t="shared" si="2"/>
        <v>0.84246575342465757</v>
      </c>
      <c r="G26" s="36" t="s">
        <v>44</v>
      </c>
    </row>
    <row r="27" spans="1:7" ht="44.65" customHeight="1">
      <c r="A27" s="26" t="s">
        <v>32</v>
      </c>
      <c r="B27" s="20">
        <f>SUM(B24:B26)</f>
        <v>574</v>
      </c>
      <c r="C27" s="20">
        <f>SUM(C24:C26)</f>
        <v>721</v>
      </c>
      <c r="D27" s="20">
        <f>SUM(D24:D26)</f>
        <v>880</v>
      </c>
      <c r="E27" s="35">
        <f t="shared" si="3"/>
        <v>-0.20388349514563106</v>
      </c>
      <c r="F27" s="35">
        <f t="shared" si="2"/>
        <v>-0.18068181818181819</v>
      </c>
      <c r="G27" s="36" t="s">
        <v>45</v>
      </c>
    </row>
    <row r="28" spans="1:7" ht="42.4" customHeight="1">
      <c r="A28" s="25" t="s">
        <v>20</v>
      </c>
      <c r="B28" s="29">
        <f>SUM(B23:B26)</f>
        <v>7619</v>
      </c>
      <c r="C28" s="29">
        <f>SUM(C23:C26)</f>
        <v>8295</v>
      </c>
      <c r="D28" s="29">
        <f>SUM(D23:D26)</f>
        <v>7155</v>
      </c>
      <c r="E28" s="35">
        <f t="shared" si="3"/>
        <v>-8.1494876431585289E-2</v>
      </c>
      <c r="F28" s="35">
        <f t="shared" si="2"/>
        <v>0.15932914046121593</v>
      </c>
      <c r="G28" s="36" t="s">
        <v>46</v>
      </c>
    </row>
    <row r="29" spans="1:7" ht="42.75" customHeight="1">
      <c r="A29" s="27" t="s">
        <v>21</v>
      </c>
      <c r="B29" s="29">
        <v>1677</v>
      </c>
      <c r="C29" s="29">
        <v>1783</v>
      </c>
      <c r="D29" s="29">
        <v>1479</v>
      </c>
      <c r="E29" s="35">
        <f t="shared" si="3"/>
        <v>-5.9450364554122268E-2</v>
      </c>
      <c r="F29" s="35">
        <f t="shared" si="2"/>
        <v>0.20554428668018931</v>
      </c>
      <c r="G29" s="36" t="s">
        <v>47</v>
      </c>
    </row>
    <row r="30" spans="1:7" ht="46.9" customHeight="1">
      <c r="A30" s="25" t="s">
        <v>22</v>
      </c>
      <c r="B30" s="29">
        <f>B28-B29</f>
        <v>5942</v>
      </c>
      <c r="C30" s="29">
        <f>C28-C29</f>
        <v>6512</v>
      </c>
      <c r="D30" s="29">
        <f>D28-D29</f>
        <v>5676</v>
      </c>
      <c r="E30" s="35">
        <f t="shared" si="3"/>
        <v>-8.7530712530712526E-2</v>
      </c>
      <c r="F30" s="35">
        <f t="shared" si="2"/>
        <v>0.14728682170542637</v>
      </c>
      <c r="G30" s="36" t="s">
        <v>48</v>
      </c>
    </row>
    <row r="31" spans="1:7" ht="41.65" customHeight="1">
      <c r="A31" s="25" t="s">
        <v>23</v>
      </c>
      <c r="B31" s="30">
        <v>35.31</v>
      </c>
      <c r="C31" s="30">
        <v>42.01</v>
      </c>
      <c r="D31" s="30">
        <v>36.51</v>
      </c>
      <c r="E31" s="35">
        <f t="shared" si="3"/>
        <v>-0.1594858367055462</v>
      </c>
      <c r="F31" s="35">
        <f t="shared" si="2"/>
        <v>0.1506436592714325</v>
      </c>
      <c r="G31" s="36" t="s">
        <v>49</v>
      </c>
    </row>
    <row r="32" spans="1:7">
      <c r="A32" s="5"/>
      <c r="B32" s="5"/>
      <c r="C32" s="5"/>
      <c r="D32" s="5"/>
      <c r="E32" s="5"/>
      <c r="F32" s="5"/>
      <c r="G32" s="6"/>
    </row>
    <row r="33" spans="1:7" ht="14.65" customHeight="1">
      <c r="B33" s="5"/>
      <c r="C33" s="5"/>
      <c r="D33" s="5"/>
      <c r="E33" s="5"/>
      <c r="F33" s="5"/>
      <c r="G33" s="7"/>
    </row>
    <row r="34" spans="1:7">
      <c r="B34" s="5"/>
      <c r="C34" s="5"/>
      <c r="D34" s="5"/>
      <c r="E34" s="5"/>
      <c r="F34" s="5"/>
      <c r="G34" s="7"/>
    </row>
    <row r="36" spans="1:7" ht="161.25" customHeight="1">
      <c r="A36" s="28" t="s">
        <v>171</v>
      </c>
    </row>
    <row r="38" spans="1:7" ht="117.4" customHeight="1">
      <c r="A38" s="28" t="s">
        <v>172</v>
      </c>
    </row>
    <row r="42" spans="1:7">
      <c r="A42" s="37" t="s">
        <v>114</v>
      </c>
      <c r="B42" s="33"/>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8F842-C8A6-4709-B462-45CBA55DCE36}">
  <dimension ref="A2:L45"/>
  <sheetViews>
    <sheetView zoomScale="45" workbookViewId="0">
      <selection activeCell="A29" sqref="A29"/>
    </sheetView>
  </sheetViews>
  <sheetFormatPr defaultRowHeight="14.25"/>
  <cols>
    <col min="1" max="1" width="74.33203125" style="15" customWidth="1"/>
    <col min="2" max="2" width="13.796875" customWidth="1"/>
    <col min="3" max="3" width="14" customWidth="1"/>
    <col min="4" max="4" width="13.265625" style="4" customWidth="1"/>
    <col min="5" max="5" width="20.1328125" style="13" customWidth="1"/>
    <col min="6" max="6" width="21.33203125" style="13" customWidth="1"/>
    <col min="7" max="7" width="74.265625" style="19" customWidth="1"/>
  </cols>
  <sheetData>
    <row r="2" spans="1:12" ht="20.25">
      <c r="A2" s="50"/>
      <c r="B2" s="51"/>
      <c r="C2" s="51"/>
      <c r="D2" s="48" t="s">
        <v>3</v>
      </c>
      <c r="E2" s="48"/>
      <c r="F2" s="48"/>
      <c r="G2" s="18"/>
      <c r="K2" s="9"/>
      <c r="L2" s="9"/>
    </row>
    <row r="3" spans="1:12" ht="20.25">
      <c r="A3" s="50"/>
      <c r="B3" s="52" t="s">
        <v>87</v>
      </c>
      <c r="C3" s="51"/>
      <c r="D3" s="51"/>
      <c r="E3" s="51"/>
      <c r="F3" s="51"/>
      <c r="G3" s="18"/>
      <c r="K3" s="9"/>
      <c r="L3" s="9"/>
    </row>
    <row r="4" spans="1:12" ht="20.25">
      <c r="A4" s="50"/>
      <c r="B4" s="52" t="s">
        <v>88</v>
      </c>
      <c r="C4" s="51"/>
      <c r="D4" s="51"/>
      <c r="E4" s="51"/>
      <c r="F4" s="48"/>
      <c r="G4" s="18"/>
      <c r="K4" s="9"/>
      <c r="L4" s="9"/>
    </row>
    <row r="5" spans="1:12" ht="20.25">
      <c r="A5" s="50"/>
      <c r="B5" s="51"/>
      <c r="C5" s="51"/>
      <c r="D5" s="48" t="s">
        <v>6</v>
      </c>
      <c r="E5" s="48"/>
      <c r="F5" s="48"/>
      <c r="G5" s="18"/>
      <c r="K5" s="9"/>
      <c r="L5" s="9"/>
    </row>
    <row r="7" spans="1:12" ht="24.75" customHeight="1">
      <c r="A7" s="70" t="s">
        <v>7</v>
      </c>
      <c r="B7" s="70" t="s">
        <v>68</v>
      </c>
      <c r="C7" s="70" t="s">
        <v>69</v>
      </c>
      <c r="D7" s="70" t="s">
        <v>70</v>
      </c>
      <c r="E7" s="71" t="s">
        <v>34</v>
      </c>
      <c r="F7" s="71" t="s">
        <v>35</v>
      </c>
      <c r="G7" s="72" t="s">
        <v>24</v>
      </c>
    </row>
    <row r="8" spans="1:12">
      <c r="A8" s="73" t="s">
        <v>60</v>
      </c>
      <c r="B8" s="74"/>
      <c r="C8" s="74"/>
      <c r="D8" s="75"/>
      <c r="E8" s="76"/>
      <c r="F8" s="76"/>
      <c r="G8" s="77"/>
    </row>
    <row r="9" spans="1:12" ht="59.65" customHeight="1">
      <c r="A9" s="78" t="s">
        <v>187</v>
      </c>
      <c r="B9" s="79">
        <v>11468</v>
      </c>
      <c r="C9" s="79">
        <v>12762</v>
      </c>
      <c r="D9" s="79">
        <v>8736</v>
      </c>
      <c r="E9" s="80">
        <f>(B9-C9)/C9</f>
        <v>-0.10139476571070365</v>
      </c>
      <c r="F9" s="80">
        <f>(C9-D9)/D9</f>
        <v>0.46085164835164832</v>
      </c>
      <c r="G9" s="81" t="s">
        <v>91</v>
      </c>
    </row>
    <row r="10" spans="1:12" ht="42.4" customHeight="1">
      <c r="A10" s="78" t="s">
        <v>71</v>
      </c>
      <c r="B10" s="79">
        <v>5158</v>
      </c>
      <c r="C10" s="79">
        <v>4304</v>
      </c>
      <c r="D10" s="79">
        <v>3916</v>
      </c>
      <c r="E10" s="80">
        <f t="shared" ref="E10:E17" si="0">(B10-C10)/C10</f>
        <v>0.19842007434944237</v>
      </c>
      <c r="F10" s="80">
        <f t="shared" ref="F10:F34" si="1">(C10-D10)/D10</f>
        <v>9.9080694586312565E-2</v>
      </c>
      <c r="G10" s="81" t="s">
        <v>92</v>
      </c>
    </row>
    <row r="11" spans="1:12" ht="40.9" customHeight="1">
      <c r="A11" s="78" t="s">
        <v>61</v>
      </c>
      <c r="B11" s="79">
        <v>13271</v>
      </c>
      <c r="C11" s="79">
        <v>9769</v>
      </c>
      <c r="D11" s="79">
        <v>9740</v>
      </c>
      <c r="E11" s="80">
        <f t="shared" si="0"/>
        <v>0.35848090899785034</v>
      </c>
      <c r="F11" s="80">
        <f t="shared" si="1"/>
        <v>2.9774127310061601E-3</v>
      </c>
      <c r="G11" s="81" t="s">
        <v>93</v>
      </c>
    </row>
    <row r="12" spans="1:12" ht="38.65" customHeight="1">
      <c r="A12" s="82" t="s">
        <v>78</v>
      </c>
      <c r="B12" s="79">
        <v>68020</v>
      </c>
      <c r="C12" s="79">
        <v>58870</v>
      </c>
      <c r="D12" s="79">
        <v>60656</v>
      </c>
      <c r="E12" s="80">
        <f t="shared" si="0"/>
        <v>0.15542721250212332</v>
      </c>
      <c r="F12" s="80">
        <f t="shared" si="1"/>
        <v>-2.9444737536270114E-2</v>
      </c>
      <c r="G12" s="81" t="s">
        <v>94</v>
      </c>
    </row>
    <row r="13" spans="1:12" ht="39.75" customHeight="1">
      <c r="A13" s="83" t="s">
        <v>72</v>
      </c>
      <c r="B13" s="79">
        <v>1874</v>
      </c>
      <c r="C13" s="79">
        <v>1519</v>
      </c>
      <c r="D13" s="79">
        <v>1421</v>
      </c>
      <c r="E13" s="80">
        <f t="shared" si="0"/>
        <v>0.23370638578011849</v>
      </c>
      <c r="F13" s="80">
        <f t="shared" si="1"/>
        <v>6.8965517241379309E-2</v>
      </c>
      <c r="G13" s="81" t="s">
        <v>95</v>
      </c>
    </row>
    <row r="14" spans="1:12" ht="41.25" customHeight="1">
      <c r="A14" s="78" t="s">
        <v>62</v>
      </c>
      <c r="B14" s="79">
        <v>6956</v>
      </c>
      <c r="C14" s="79">
        <v>4699</v>
      </c>
      <c r="D14" s="79">
        <v>4960</v>
      </c>
      <c r="E14" s="80">
        <f t="shared" si="0"/>
        <v>0.48031496062992124</v>
      </c>
      <c r="F14" s="80">
        <f t="shared" si="1"/>
        <v>-5.2620967741935483E-2</v>
      </c>
      <c r="G14" s="81" t="s">
        <v>96</v>
      </c>
    </row>
    <row r="15" spans="1:12" ht="39.4" customHeight="1">
      <c r="A15" s="84" t="s">
        <v>73</v>
      </c>
      <c r="B15" s="79">
        <f>SUM(B9:B14)</f>
        <v>106747</v>
      </c>
      <c r="C15" s="79">
        <f>SUM(C9:C14)</f>
        <v>91923</v>
      </c>
      <c r="D15" s="79">
        <f>SUM(D9:D14)</f>
        <v>89429</v>
      </c>
      <c r="E15" s="80">
        <f t="shared" si="0"/>
        <v>0.1612654069166585</v>
      </c>
      <c r="F15" s="80">
        <f t="shared" si="1"/>
        <v>2.7888045264958795E-2</v>
      </c>
      <c r="G15" s="81" t="s">
        <v>97</v>
      </c>
    </row>
    <row r="16" spans="1:12" ht="54" customHeight="1">
      <c r="A16" s="78" t="s">
        <v>89</v>
      </c>
      <c r="B16" s="79">
        <v>63251</v>
      </c>
      <c r="C16" s="79">
        <v>46692</v>
      </c>
      <c r="D16" s="79">
        <v>33782</v>
      </c>
      <c r="E16" s="80">
        <f t="shared" si="0"/>
        <v>0.35464319369485137</v>
      </c>
      <c r="F16" s="80">
        <f t="shared" si="1"/>
        <v>0.38215617784619027</v>
      </c>
      <c r="G16" s="81" t="s">
        <v>98</v>
      </c>
    </row>
    <row r="17" spans="1:7" ht="43.9" customHeight="1">
      <c r="A17" s="85" t="s">
        <v>63</v>
      </c>
      <c r="B17" s="86">
        <f>SUM(B15:B16)</f>
        <v>169998</v>
      </c>
      <c r="C17" s="86">
        <f>SUM(C15:C16)</f>
        <v>138615</v>
      </c>
      <c r="D17" s="86">
        <f>SUM(D15:D16)</f>
        <v>123211</v>
      </c>
      <c r="E17" s="80">
        <f t="shared" si="0"/>
        <v>0.22640406882372038</v>
      </c>
      <c r="F17" s="80">
        <f t="shared" si="1"/>
        <v>0.12502130491595717</v>
      </c>
      <c r="G17" s="81" t="s">
        <v>99</v>
      </c>
    </row>
    <row r="18" spans="1:7" ht="21" customHeight="1">
      <c r="A18" s="73" t="s">
        <v>64</v>
      </c>
      <c r="B18" s="74"/>
      <c r="C18" s="75"/>
      <c r="D18" s="75"/>
      <c r="E18" s="80"/>
      <c r="F18" s="80"/>
      <c r="G18" s="81"/>
    </row>
    <row r="19" spans="1:7" ht="50.25" customHeight="1">
      <c r="A19" s="78" t="s">
        <v>74</v>
      </c>
      <c r="B19" s="79">
        <v>3830</v>
      </c>
      <c r="C19" s="79">
        <v>2964</v>
      </c>
      <c r="D19" s="79">
        <v>2393</v>
      </c>
      <c r="E19" s="80">
        <f t="shared" ref="E19:E27" si="2">(B19-C19)/C19</f>
        <v>0.29217273954116058</v>
      </c>
      <c r="F19" s="80">
        <f t="shared" si="1"/>
        <v>0.23861262014208107</v>
      </c>
      <c r="G19" s="81" t="s">
        <v>100</v>
      </c>
    </row>
    <row r="20" spans="1:7" ht="37.5" customHeight="1">
      <c r="A20" s="78" t="s">
        <v>75</v>
      </c>
      <c r="B20" s="79">
        <v>1740</v>
      </c>
      <c r="C20" s="79">
        <v>1536</v>
      </c>
      <c r="D20" s="79">
        <v>1240</v>
      </c>
      <c r="E20" s="80">
        <f t="shared" si="2"/>
        <v>0.1328125</v>
      </c>
      <c r="F20" s="80">
        <f t="shared" si="1"/>
        <v>0.23870967741935484</v>
      </c>
      <c r="G20" s="81" t="s">
        <v>101</v>
      </c>
    </row>
    <row r="21" spans="1:7" ht="37.9" customHeight="1">
      <c r="A21" s="78" t="s">
        <v>76</v>
      </c>
      <c r="B21" s="79">
        <v>12768</v>
      </c>
      <c r="C21" s="79">
        <v>12314</v>
      </c>
      <c r="D21" s="79">
        <v>7918</v>
      </c>
      <c r="E21" s="80">
        <f t="shared" si="2"/>
        <v>3.6868604840019491E-2</v>
      </c>
      <c r="F21" s="80">
        <f t="shared" si="1"/>
        <v>0.55519070472341503</v>
      </c>
      <c r="G21" s="81" t="s">
        <v>102</v>
      </c>
    </row>
    <row r="22" spans="1:7" ht="41.25" customHeight="1">
      <c r="A22" s="87" t="s">
        <v>77</v>
      </c>
      <c r="B22" s="79">
        <v>68020</v>
      </c>
      <c r="C22" s="79">
        <v>58870</v>
      </c>
      <c r="D22" s="79">
        <v>60656</v>
      </c>
      <c r="E22" s="80">
        <f t="shared" si="2"/>
        <v>0.15542721250212332</v>
      </c>
      <c r="F22" s="80">
        <f t="shared" si="1"/>
        <v>-2.9444737536270114E-2</v>
      </c>
      <c r="G22" s="81" t="s">
        <v>103</v>
      </c>
    </row>
    <row r="23" spans="1:7" ht="38.65" customHeight="1">
      <c r="A23" s="83" t="s">
        <v>79</v>
      </c>
      <c r="B23" s="79">
        <v>8429</v>
      </c>
      <c r="C23" s="79">
        <v>4302</v>
      </c>
      <c r="D23" s="75">
        <v>99</v>
      </c>
      <c r="E23" s="80">
        <f t="shared" si="2"/>
        <v>0.95932124593212464</v>
      </c>
      <c r="F23" s="80" t="s">
        <v>33</v>
      </c>
      <c r="G23" s="81" t="s">
        <v>104</v>
      </c>
    </row>
    <row r="24" spans="1:7" ht="41.65" customHeight="1">
      <c r="A24" s="83" t="s">
        <v>80</v>
      </c>
      <c r="B24" s="79">
        <v>4618</v>
      </c>
      <c r="C24" s="79">
        <v>3334</v>
      </c>
      <c r="D24" s="79">
        <v>3506</v>
      </c>
      <c r="E24" s="80">
        <f t="shared" si="2"/>
        <v>0.38512297540491902</v>
      </c>
      <c r="F24" s="80">
        <f t="shared" si="1"/>
        <v>-4.9058756417569883E-2</v>
      </c>
      <c r="G24" s="81" t="s">
        <v>105</v>
      </c>
    </row>
    <row r="25" spans="1:7" ht="37.9" customHeight="1">
      <c r="A25" s="83" t="s">
        <v>81</v>
      </c>
      <c r="B25" s="79">
        <v>2228</v>
      </c>
      <c r="C25" s="79">
        <v>1908</v>
      </c>
      <c r="D25" s="79">
        <v>1784</v>
      </c>
      <c r="E25" s="80">
        <f t="shared" si="2"/>
        <v>0.16771488469601678</v>
      </c>
      <c r="F25" s="80">
        <f t="shared" si="1"/>
        <v>6.9506726457399109E-2</v>
      </c>
      <c r="G25" s="81" t="s">
        <v>106</v>
      </c>
    </row>
    <row r="26" spans="1:7" ht="40.5" customHeight="1">
      <c r="A26" s="83" t="s">
        <v>65</v>
      </c>
      <c r="B26" s="79">
        <v>6823</v>
      </c>
      <c r="C26" s="79">
        <v>4032</v>
      </c>
      <c r="D26" s="79">
        <v>4375</v>
      </c>
      <c r="E26" s="80">
        <f t="shared" si="2"/>
        <v>0.69221230158730163</v>
      </c>
      <c r="F26" s="80">
        <f t="shared" si="1"/>
        <v>-7.8399999999999997E-2</v>
      </c>
      <c r="G26" s="81" t="s">
        <v>107</v>
      </c>
    </row>
    <row r="27" spans="1:7" ht="36" customHeight="1">
      <c r="A27" s="85" t="s">
        <v>66</v>
      </c>
      <c r="B27" s="86">
        <f>SUM(B19:B26)</f>
        <v>108456</v>
      </c>
      <c r="C27" s="86">
        <f>SUM(C19:C26)</f>
        <v>89260</v>
      </c>
      <c r="D27" s="86">
        <f>SUM(D19:D26)</f>
        <v>81971</v>
      </c>
      <c r="E27" s="80">
        <f t="shared" si="2"/>
        <v>0.21505713645529911</v>
      </c>
      <c r="F27" s="80">
        <f t="shared" si="1"/>
        <v>8.8921691817838017E-2</v>
      </c>
      <c r="G27" s="81" t="s">
        <v>108</v>
      </c>
    </row>
    <row r="28" spans="1:7" ht="19.899999999999999" customHeight="1">
      <c r="A28" s="88" t="s">
        <v>83</v>
      </c>
      <c r="B28" s="89"/>
      <c r="C28" s="90"/>
      <c r="D28" s="90"/>
      <c r="E28" s="80"/>
      <c r="F28" s="80"/>
      <c r="G28" s="77"/>
    </row>
    <row r="29" spans="1:7" ht="43.9" customHeight="1">
      <c r="A29" s="78" t="s">
        <v>82</v>
      </c>
      <c r="B29" s="79">
        <v>55888</v>
      </c>
      <c r="C29" s="79">
        <v>47495</v>
      </c>
      <c r="D29" s="79">
        <v>39347</v>
      </c>
      <c r="E29" s="80">
        <f>(B29-C29)/C29</f>
        <v>0.17671333824613117</v>
      </c>
      <c r="F29" s="80">
        <f t="shared" si="1"/>
        <v>0.20708059064223447</v>
      </c>
      <c r="G29" s="77" t="s">
        <v>109</v>
      </c>
    </row>
    <row r="30" spans="1:7" ht="40.15" customHeight="1">
      <c r="A30" s="83" t="s">
        <v>86</v>
      </c>
      <c r="B30" s="79">
        <v>227</v>
      </c>
      <c r="C30" s="79">
        <v>169</v>
      </c>
      <c r="D30" s="75">
        <v>153</v>
      </c>
      <c r="E30" s="80">
        <f>(B30-C30)/C30</f>
        <v>0.34319526627218933</v>
      </c>
      <c r="F30" s="80">
        <f t="shared" si="1"/>
        <v>0.10457516339869281</v>
      </c>
      <c r="G30" s="77" t="s">
        <v>110</v>
      </c>
    </row>
    <row r="31" spans="1:7" ht="46.5" customHeight="1">
      <c r="A31" s="91" t="s">
        <v>67</v>
      </c>
      <c r="B31" s="86">
        <f>SUM(B29:B30)</f>
        <v>56115</v>
      </c>
      <c r="C31" s="86">
        <f>SUM(C29:C30)</f>
        <v>47664</v>
      </c>
      <c r="D31" s="92">
        <f>SUM(D29:D30)</f>
        <v>39500</v>
      </c>
      <c r="E31" s="80">
        <f>(B31-C31)/C31</f>
        <v>0.17730362537764349</v>
      </c>
      <c r="F31" s="80">
        <f t="shared" si="1"/>
        <v>0.20668354430379746</v>
      </c>
      <c r="G31" s="77" t="s">
        <v>111</v>
      </c>
    </row>
    <row r="32" spans="1:7" ht="21.4" customHeight="1">
      <c r="A32" s="93" t="s">
        <v>84</v>
      </c>
      <c r="B32" s="79"/>
      <c r="C32" s="79"/>
      <c r="D32" s="75"/>
      <c r="E32" s="80"/>
      <c r="F32" s="80"/>
      <c r="G32" s="77"/>
    </row>
    <row r="33" spans="1:7" ht="47.25" customHeight="1">
      <c r="A33" s="78" t="s">
        <v>85</v>
      </c>
      <c r="B33" s="79">
        <v>5427</v>
      </c>
      <c r="C33" s="79">
        <v>1691</v>
      </c>
      <c r="D33" s="79">
        <v>1740</v>
      </c>
      <c r="E33" s="80">
        <f>(B33-C33)/C33</f>
        <v>2.2093435836782969</v>
      </c>
      <c r="F33" s="80">
        <f t="shared" si="1"/>
        <v>-2.8160919540229885E-2</v>
      </c>
      <c r="G33" s="77" t="s">
        <v>112</v>
      </c>
    </row>
    <row r="34" spans="1:7" ht="59.25" customHeight="1">
      <c r="A34" s="85" t="s">
        <v>90</v>
      </c>
      <c r="B34" s="86">
        <f>SUM(B27+B31+B33)</f>
        <v>169998</v>
      </c>
      <c r="C34" s="86">
        <f>SUM(C27+C31+C33)</f>
        <v>138615</v>
      </c>
      <c r="D34" s="86">
        <f>SUM(D27+D31+D33)</f>
        <v>123211</v>
      </c>
      <c r="E34" s="80">
        <f>(B34-C34)/C34</f>
        <v>0.22640406882372038</v>
      </c>
      <c r="F34" s="80">
        <f t="shared" si="1"/>
        <v>0.12502130491595717</v>
      </c>
      <c r="G34" s="77" t="s">
        <v>113</v>
      </c>
    </row>
    <row r="35" spans="1:7">
      <c r="E35" s="11"/>
    </row>
    <row r="36" spans="1:7">
      <c r="E36" s="12"/>
    </row>
    <row r="39" spans="1:7" ht="162.4" customHeight="1">
      <c r="A39" s="41" t="s">
        <v>169</v>
      </c>
    </row>
    <row r="41" spans="1:7" ht="101.65" customHeight="1">
      <c r="A41" s="42" t="s">
        <v>170</v>
      </c>
    </row>
    <row r="42" spans="1:7">
      <c r="A42"/>
    </row>
    <row r="43" spans="1:7">
      <c r="A43" s="14"/>
    </row>
    <row r="45" spans="1:7" ht="33.75" customHeight="1">
      <c r="A45" s="38" t="s">
        <v>115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C7075-F656-4B3C-B1A1-7175FC686604}">
  <dimension ref="A2:H47"/>
  <sheetViews>
    <sheetView zoomScale="45" workbookViewId="0">
      <selection activeCell="L6" sqref="L6"/>
    </sheetView>
  </sheetViews>
  <sheetFormatPr defaultRowHeight="14.25"/>
  <cols>
    <col min="1" max="1" width="80.53125" customWidth="1"/>
    <col min="2" max="2" width="19.6640625" style="4" customWidth="1"/>
    <col min="3" max="3" width="19.53125" style="4" customWidth="1"/>
    <col min="4" max="4" width="19" style="4" customWidth="1"/>
    <col min="5" max="5" width="23.86328125" customWidth="1"/>
    <col min="6" max="6" width="24.265625" customWidth="1"/>
    <col min="7" max="7" width="72.3984375" style="115" customWidth="1"/>
  </cols>
  <sheetData>
    <row r="2" spans="1:8" ht="20.25">
      <c r="B2" s="53"/>
      <c r="C2" s="53"/>
      <c r="D2" s="48" t="s">
        <v>3</v>
      </c>
      <c r="E2" s="48"/>
      <c r="F2" s="10"/>
      <c r="G2" s="111"/>
      <c r="H2" s="10"/>
    </row>
    <row r="3" spans="1:8" ht="20.25">
      <c r="B3" s="53"/>
      <c r="C3" s="53"/>
      <c r="D3" s="48" t="s">
        <v>116</v>
      </c>
      <c r="E3" s="48"/>
      <c r="F3" s="10"/>
      <c r="G3" s="111"/>
      <c r="H3" s="10"/>
    </row>
    <row r="4" spans="1:8" ht="20.25">
      <c r="B4" s="53"/>
      <c r="C4" s="53"/>
      <c r="D4" s="48" t="s">
        <v>5</v>
      </c>
      <c r="E4" s="48"/>
      <c r="F4" s="10"/>
      <c r="G4" s="111"/>
      <c r="H4" s="10"/>
    </row>
    <row r="5" spans="1:8" ht="20.25">
      <c r="B5" s="53"/>
      <c r="C5" s="53"/>
      <c r="D5" s="48" t="s">
        <v>117</v>
      </c>
      <c r="E5" s="48"/>
      <c r="F5" s="10"/>
      <c r="G5" s="111"/>
      <c r="H5" s="10"/>
    </row>
    <row r="6" spans="1:8" ht="20.25">
      <c r="D6" s="10"/>
      <c r="E6" s="39"/>
      <c r="F6" s="39"/>
      <c r="G6" s="111"/>
      <c r="H6" s="39"/>
    </row>
    <row r="7" spans="1:8" s="44" customFormat="1" ht="25.15" customHeight="1">
      <c r="A7" s="60" t="s">
        <v>7</v>
      </c>
      <c r="B7" s="60" t="s">
        <v>68</v>
      </c>
      <c r="C7" s="60" t="s">
        <v>69</v>
      </c>
      <c r="D7" s="60" t="s">
        <v>70</v>
      </c>
      <c r="E7" s="60" t="s">
        <v>34</v>
      </c>
      <c r="F7" s="60" t="s">
        <v>35</v>
      </c>
      <c r="G7" s="112" t="s">
        <v>24</v>
      </c>
      <c r="H7" s="45"/>
    </row>
    <row r="8" spans="1:8" ht="20.25">
      <c r="A8" s="61" t="s">
        <v>118</v>
      </c>
      <c r="B8" s="62"/>
      <c r="C8" s="62"/>
      <c r="D8" s="63"/>
      <c r="E8" s="64"/>
      <c r="F8" s="64"/>
      <c r="G8" s="113"/>
      <c r="H8" s="39"/>
    </row>
    <row r="9" spans="1:8" ht="54.4" customHeight="1">
      <c r="A9" s="65" t="s">
        <v>119</v>
      </c>
      <c r="B9" s="57">
        <v>5942</v>
      </c>
      <c r="C9" s="57">
        <v>6512</v>
      </c>
      <c r="D9" s="57">
        <v>5676</v>
      </c>
      <c r="E9" s="58">
        <f>(B9-C9)/C9</f>
        <v>-8.7530712530712526E-2</v>
      </c>
      <c r="F9" s="58">
        <f>(C9-D9)/D9</f>
        <v>0.14728682170542637</v>
      </c>
      <c r="G9" s="114" t="s">
        <v>146</v>
      </c>
    </row>
    <row r="10" spans="1:8" ht="55.15" customHeight="1">
      <c r="A10" s="65" t="s">
        <v>120</v>
      </c>
      <c r="B10" s="57">
        <v>1126</v>
      </c>
      <c r="C10" s="59">
        <v>529</v>
      </c>
      <c r="D10" s="59">
        <v>427</v>
      </c>
      <c r="E10" s="58">
        <f t="shared" ref="E10:E36" si="0">(B10-C10)/C10</f>
        <v>1.1285444234404536</v>
      </c>
      <c r="F10" s="58">
        <f t="shared" ref="F10:F36" si="1">(C10-D10)/D10</f>
        <v>0.2388758782201405</v>
      </c>
      <c r="G10" s="114" t="s">
        <v>147</v>
      </c>
    </row>
    <row r="11" spans="1:8" ht="52.9" customHeight="1">
      <c r="A11" s="65" t="s">
        <v>121</v>
      </c>
      <c r="B11" s="57">
        <v>1307</v>
      </c>
      <c r="C11" s="59">
        <v>753</v>
      </c>
      <c r="D11" s="59">
        <v>630</v>
      </c>
      <c r="E11" s="58">
        <f t="shared" si="0"/>
        <v>0.7357237715803453</v>
      </c>
      <c r="F11" s="58">
        <f t="shared" si="1"/>
        <v>0.19523809523809524</v>
      </c>
      <c r="G11" s="114" t="s">
        <v>148</v>
      </c>
    </row>
    <row r="12" spans="1:8" ht="55.5" customHeight="1">
      <c r="A12" s="65" t="s">
        <v>122</v>
      </c>
      <c r="B12" s="57">
        <v>-631</v>
      </c>
      <c r="C12" s="59">
        <v>-106</v>
      </c>
      <c r="D12" s="59">
        <v>124</v>
      </c>
      <c r="E12" s="58" t="s">
        <v>33</v>
      </c>
      <c r="F12" s="58" t="s">
        <v>33</v>
      </c>
      <c r="G12" s="114" t="s">
        <v>149</v>
      </c>
    </row>
    <row r="13" spans="1:8" ht="52.15" customHeight="1">
      <c r="A13" s="65" t="s">
        <v>26</v>
      </c>
      <c r="B13" s="57">
        <v>720</v>
      </c>
      <c r="C13" s="59">
        <v>-36</v>
      </c>
      <c r="D13" s="59">
        <v>3</v>
      </c>
      <c r="E13" s="58" t="s">
        <v>33</v>
      </c>
      <c r="F13" s="58" t="s">
        <v>33</v>
      </c>
      <c r="G13" s="114" t="s">
        <v>150</v>
      </c>
    </row>
    <row r="14" spans="1:8" ht="37.9" customHeight="1">
      <c r="A14" s="65" t="s">
        <v>123</v>
      </c>
      <c r="B14" s="57">
        <v>-289</v>
      </c>
      <c r="C14" s="59">
        <v>-126</v>
      </c>
      <c r="D14" s="59">
        <v>0</v>
      </c>
      <c r="E14" s="58">
        <f>(B14-C14)/C14</f>
        <v>1.2936507936507937</v>
      </c>
      <c r="F14" s="58" t="s">
        <v>33</v>
      </c>
      <c r="G14" s="114" t="s">
        <v>176</v>
      </c>
    </row>
    <row r="15" spans="1:8" ht="39.75" customHeight="1">
      <c r="A15" s="65" t="s">
        <v>124</v>
      </c>
      <c r="B15" s="57">
        <v>-4214</v>
      </c>
      <c r="C15" s="59">
        <v>-2672</v>
      </c>
      <c r="D15" s="57">
        <v>-1780</v>
      </c>
      <c r="E15" s="58">
        <f t="shared" si="0"/>
        <v>0.57709580838323349</v>
      </c>
      <c r="F15" s="58">
        <f t="shared" si="1"/>
        <v>0.50112359550561802</v>
      </c>
      <c r="G15" s="114" t="s">
        <v>151</v>
      </c>
    </row>
    <row r="16" spans="1:8" ht="49.9" customHeight="1">
      <c r="A16" s="67" t="s">
        <v>125</v>
      </c>
      <c r="B16" s="57">
        <v>3927</v>
      </c>
      <c r="C16" s="57">
        <v>4956</v>
      </c>
      <c r="D16" s="57">
        <v>4165</v>
      </c>
      <c r="E16" s="58">
        <f t="shared" si="0"/>
        <v>-0.2076271186440678</v>
      </c>
      <c r="F16" s="58">
        <f t="shared" si="1"/>
        <v>0.18991596638655461</v>
      </c>
      <c r="G16" s="114" t="s">
        <v>168</v>
      </c>
    </row>
    <row r="17" spans="1:7" ht="18.399999999999999" customHeight="1">
      <c r="A17" s="61" t="s">
        <v>126</v>
      </c>
      <c r="B17" s="59"/>
      <c r="C17" s="59"/>
      <c r="D17" s="59"/>
      <c r="E17" s="58"/>
      <c r="F17" s="58"/>
      <c r="G17" s="114"/>
    </row>
    <row r="18" spans="1:7" ht="40.9" customHeight="1">
      <c r="A18" s="65" t="s">
        <v>127</v>
      </c>
      <c r="B18" s="57">
        <v>-1384</v>
      </c>
      <c r="C18" s="59">
        <v>-818</v>
      </c>
      <c r="D18" s="59">
        <v>-846</v>
      </c>
      <c r="E18" s="58">
        <f t="shared" si="0"/>
        <v>0.69193154034229831</v>
      </c>
      <c r="F18" s="58">
        <f t="shared" si="1"/>
        <v>-3.309692671394799E-2</v>
      </c>
      <c r="G18" s="114" t="s">
        <v>152</v>
      </c>
    </row>
    <row r="19" spans="1:7" ht="39.4" customHeight="1">
      <c r="A19" s="65" t="s">
        <v>128</v>
      </c>
      <c r="B19" s="57">
        <v>544</v>
      </c>
      <c r="C19" s="59">
        <v>766</v>
      </c>
      <c r="D19" s="59">
        <v>400</v>
      </c>
      <c r="E19" s="58">
        <f t="shared" si="0"/>
        <v>-0.28981723237597912</v>
      </c>
      <c r="F19" s="58">
        <f t="shared" si="1"/>
        <v>0.91500000000000004</v>
      </c>
      <c r="G19" s="114" t="s">
        <v>153</v>
      </c>
    </row>
    <row r="20" spans="1:7" ht="40.9" customHeight="1">
      <c r="A20" s="65" t="s">
        <v>129</v>
      </c>
      <c r="B20" s="57">
        <v>390</v>
      </c>
      <c r="C20" s="59">
        <v>366</v>
      </c>
      <c r="D20" s="59">
        <v>46</v>
      </c>
      <c r="E20" s="58">
        <f t="shared" si="0"/>
        <v>6.5573770491803282E-2</v>
      </c>
      <c r="F20" s="58">
        <f t="shared" si="1"/>
        <v>6.9565217391304346</v>
      </c>
      <c r="G20" s="114" t="s">
        <v>155</v>
      </c>
    </row>
    <row r="21" spans="1:7" ht="43.5" customHeight="1">
      <c r="A21" s="65" t="s">
        <v>130</v>
      </c>
      <c r="B21" s="57">
        <v>-97</v>
      </c>
      <c r="C21" s="59">
        <v>-127</v>
      </c>
      <c r="D21" s="59">
        <v>-26</v>
      </c>
      <c r="E21" s="58">
        <f t="shared" si="0"/>
        <v>-0.23622047244094488</v>
      </c>
      <c r="F21" s="58">
        <f t="shared" si="1"/>
        <v>3.8846153846153846</v>
      </c>
      <c r="G21" s="114" t="s">
        <v>154</v>
      </c>
    </row>
    <row r="22" spans="1:7" ht="55.15" customHeight="1">
      <c r="A22" s="65" t="s">
        <v>131</v>
      </c>
      <c r="B22" s="57">
        <v>-3496</v>
      </c>
      <c r="C22" s="57">
        <v>-2936</v>
      </c>
      <c r="D22" s="59">
        <v>-189</v>
      </c>
      <c r="E22" s="58">
        <f t="shared" si="0"/>
        <v>0.1907356948228883</v>
      </c>
      <c r="F22" s="58">
        <f t="shared" si="1"/>
        <v>14.534391534391535</v>
      </c>
      <c r="G22" s="114" t="s">
        <v>156</v>
      </c>
    </row>
    <row r="23" spans="1:7" ht="37.5" customHeight="1">
      <c r="A23" s="65" t="s">
        <v>145</v>
      </c>
      <c r="B23" s="57">
        <v>-375</v>
      </c>
      <c r="C23" s="59">
        <v>-255</v>
      </c>
      <c r="D23" s="59">
        <v>-344</v>
      </c>
      <c r="E23" s="58">
        <f t="shared" si="0"/>
        <v>0.47058823529411764</v>
      </c>
      <c r="F23" s="58">
        <f t="shared" si="1"/>
        <v>-0.25872093023255816</v>
      </c>
      <c r="G23" s="114" t="s">
        <v>157</v>
      </c>
    </row>
    <row r="24" spans="1:7" ht="36" customHeight="1">
      <c r="A24" s="67" t="s">
        <v>143</v>
      </c>
      <c r="B24" s="57">
        <v>-4418</v>
      </c>
      <c r="C24" s="57">
        <v>-3004</v>
      </c>
      <c r="D24" s="59">
        <v>-959</v>
      </c>
      <c r="E24" s="58">
        <f t="shared" si="0"/>
        <v>0.47070572569906793</v>
      </c>
      <c r="F24" s="58">
        <f t="shared" si="1"/>
        <v>2.1324296141814392</v>
      </c>
      <c r="G24" s="114" t="s">
        <v>158</v>
      </c>
    </row>
    <row r="25" spans="1:7" ht="18" customHeight="1">
      <c r="A25" s="61" t="s">
        <v>132</v>
      </c>
      <c r="B25" s="59"/>
      <c r="C25" s="59"/>
      <c r="D25" s="59"/>
      <c r="E25" s="58"/>
      <c r="F25" s="58"/>
      <c r="G25" s="114"/>
    </row>
    <row r="26" spans="1:7" ht="38.25" customHeight="1">
      <c r="A26" s="65" t="s">
        <v>133</v>
      </c>
      <c r="B26" s="57">
        <v>-796</v>
      </c>
      <c r="C26" s="57">
        <v>-1000</v>
      </c>
      <c r="D26" s="59">
        <v>0</v>
      </c>
      <c r="E26" s="58">
        <f t="shared" si="0"/>
        <v>-0.20399999999999999</v>
      </c>
      <c r="F26" s="58" t="s">
        <v>33</v>
      </c>
      <c r="G26" s="114" t="s">
        <v>159</v>
      </c>
    </row>
    <row r="27" spans="1:7" ht="40.15" customHeight="1">
      <c r="A27" s="65" t="s">
        <v>134</v>
      </c>
      <c r="B27" s="57">
        <v>1080</v>
      </c>
      <c r="C27" s="57">
        <v>5474</v>
      </c>
      <c r="D27" s="57">
        <v>1238</v>
      </c>
      <c r="E27" s="58">
        <f t="shared" si="0"/>
        <v>-0.80270369017172083</v>
      </c>
      <c r="F27" s="58">
        <f t="shared" si="1"/>
        <v>3.4216478190630046</v>
      </c>
      <c r="G27" s="114" t="s">
        <v>160</v>
      </c>
    </row>
    <row r="28" spans="1:7" ht="37.15" customHeight="1">
      <c r="A28" s="65" t="s">
        <v>135</v>
      </c>
      <c r="B28" s="57">
        <v>-3347</v>
      </c>
      <c r="C28" s="57">
        <v>-3101</v>
      </c>
      <c r="D28" s="59">
        <v>-3035</v>
      </c>
      <c r="E28" s="58">
        <f t="shared" si="0"/>
        <v>7.9329248629474367E-2</v>
      </c>
      <c r="F28" s="58">
        <f t="shared" si="1"/>
        <v>2.1746293245469523E-2</v>
      </c>
      <c r="G28" s="114" t="s">
        <v>161</v>
      </c>
    </row>
    <row r="29" spans="1:7" ht="42.75" customHeight="1">
      <c r="A29" s="65" t="s">
        <v>136</v>
      </c>
      <c r="B29" s="57">
        <v>-1951</v>
      </c>
      <c r="C29" s="57">
        <v>-1930</v>
      </c>
      <c r="D29" s="57">
        <v>-1884</v>
      </c>
      <c r="E29" s="58">
        <f t="shared" si="0"/>
        <v>1.0880829015544042E-2</v>
      </c>
      <c r="F29" s="58">
        <f t="shared" si="1"/>
        <v>2.4416135881104035E-2</v>
      </c>
      <c r="G29" s="114" t="s">
        <v>162</v>
      </c>
    </row>
    <row r="30" spans="1:7" ht="36" customHeight="1">
      <c r="A30" s="66" t="s">
        <v>137</v>
      </c>
      <c r="B30" s="57">
        <v>3827</v>
      </c>
      <c r="C30" s="57">
        <v>2405</v>
      </c>
      <c r="D30" s="57">
        <v>1627</v>
      </c>
      <c r="E30" s="58">
        <f t="shared" si="0"/>
        <v>0.5912681912681913</v>
      </c>
      <c r="F30" s="58">
        <f t="shared" si="1"/>
        <v>0.47818070067609098</v>
      </c>
      <c r="G30" s="114" t="s">
        <v>163</v>
      </c>
    </row>
    <row r="31" spans="1:7" ht="34.9" customHeight="1">
      <c r="A31" s="67" t="s">
        <v>144</v>
      </c>
      <c r="B31" s="57">
        <v>-1127</v>
      </c>
      <c r="C31" s="57">
        <v>2236</v>
      </c>
      <c r="D31" s="57">
        <v>-1992</v>
      </c>
      <c r="E31" s="58" t="s">
        <v>33</v>
      </c>
      <c r="F31" s="58" t="s">
        <v>33</v>
      </c>
      <c r="G31" s="114" t="s">
        <v>164</v>
      </c>
    </row>
    <row r="32" spans="1:7" ht="18.399999999999999" customHeight="1">
      <c r="A32" s="68" t="s">
        <v>138</v>
      </c>
      <c r="B32" s="59"/>
      <c r="C32" s="59"/>
      <c r="D32" s="59"/>
      <c r="E32" s="58"/>
      <c r="F32" s="58"/>
      <c r="G32" s="114"/>
    </row>
    <row r="33" spans="1:7" ht="35.65" customHeight="1">
      <c r="A33" s="69" t="s">
        <v>142</v>
      </c>
      <c r="B33" s="57">
        <v>329</v>
      </c>
      <c r="C33" s="57">
        <v>-162</v>
      </c>
      <c r="D33" s="57">
        <v>106</v>
      </c>
      <c r="E33" s="58" t="s">
        <v>33</v>
      </c>
      <c r="F33" s="58" t="s">
        <v>33</v>
      </c>
      <c r="G33" s="114" t="s">
        <v>165</v>
      </c>
    </row>
    <row r="34" spans="1:7" ht="40.15" customHeight="1">
      <c r="A34" s="69" t="s">
        <v>141</v>
      </c>
      <c r="B34" s="57">
        <v>-1289</v>
      </c>
      <c r="C34" s="57">
        <v>4026</v>
      </c>
      <c r="D34" s="57">
        <v>1320</v>
      </c>
      <c r="E34" s="58" t="s">
        <v>33</v>
      </c>
      <c r="F34" s="58" t="s">
        <v>33</v>
      </c>
      <c r="G34" s="114" t="s">
        <v>177</v>
      </c>
    </row>
    <row r="35" spans="1:7" ht="38.65" customHeight="1">
      <c r="A35" s="69" t="s">
        <v>139</v>
      </c>
      <c r="B35" s="57">
        <v>12779</v>
      </c>
      <c r="C35" s="57">
        <v>8753</v>
      </c>
      <c r="D35" s="57">
        <v>7433</v>
      </c>
      <c r="E35" s="58">
        <f t="shared" si="0"/>
        <v>0.45995658631326403</v>
      </c>
      <c r="F35" s="58">
        <f t="shared" si="1"/>
        <v>0.17758643885376027</v>
      </c>
      <c r="G35" s="114" t="s">
        <v>166</v>
      </c>
    </row>
    <row r="36" spans="1:7" ht="40.15" customHeight="1">
      <c r="A36" s="67" t="s">
        <v>140</v>
      </c>
      <c r="B36" s="57">
        <v>11490</v>
      </c>
      <c r="C36" s="57">
        <v>12779</v>
      </c>
      <c r="D36" s="57">
        <v>8753</v>
      </c>
      <c r="E36" s="58">
        <f t="shared" si="0"/>
        <v>-0.10086861256749355</v>
      </c>
      <c r="F36" s="58">
        <f t="shared" si="1"/>
        <v>0.45995658631326403</v>
      </c>
      <c r="G36" s="114" t="s">
        <v>167</v>
      </c>
    </row>
    <row r="41" spans="1:7" ht="174.75" customHeight="1">
      <c r="A41" s="43" t="s">
        <v>174</v>
      </c>
    </row>
    <row r="42" spans="1:7">
      <c r="A42" s="40"/>
    </row>
    <row r="43" spans="1:7" ht="116.25" customHeight="1">
      <c r="A43" s="28" t="s">
        <v>175</v>
      </c>
    </row>
    <row r="44" spans="1:7">
      <c r="A44" s="40"/>
    </row>
    <row r="45" spans="1:7">
      <c r="A45" s="40"/>
    </row>
    <row r="46" spans="1:7">
      <c r="A46" s="40"/>
    </row>
    <row r="47" spans="1:7" ht="49.9" customHeight="1">
      <c r="A47" s="38" t="s">
        <v>173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D6176-F1B5-44C2-AD82-7BFAA3084DD6}">
  <dimension ref="A1:I32"/>
  <sheetViews>
    <sheetView zoomScale="70" workbookViewId="0">
      <selection activeCell="A5" sqref="A5"/>
    </sheetView>
  </sheetViews>
  <sheetFormatPr defaultRowHeight="14.25"/>
  <cols>
    <col min="1" max="1" width="31.796875" customWidth="1"/>
    <col min="2" max="2" width="15.265625" customWidth="1"/>
    <col min="3" max="3" width="14" customWidth="1"/>
    <col min="4" max="4" width="13.33203125" customWidth="1"/>
    <col min="5" max="5" width="26.06640625" customWidth="1"/>
  </cols>
  <sheetData>
    <row r="1" spans="1:9">
      <c r="C1" s="46"/>
      <c r="D1" s="46"/>
      <c r="E1" s="46"/>
      <c r="F1" s="46"/>
      <c r="G1" s="46"/>
      <c r="H1" s="46"/>
      <c r="I1" s="46"/>
    </row>
    <row r="2" spans="1:9" ht="18">
      <c r="A2" s="95"/>
      <c r="B2" s="96"/>
      <c r="C2" s="97" t="s">
        <v>3</v>
      </c>
      <c r="D2" s="97"/>
      <c r="E2" s="97"/>
      <c r="G2" s="97"/>
      <c r="H2" s="97"/>
      <c r="I2" s="97"/>
    </row>
    <row r="3" spans="1:9" ht="18">
      <c r="A3" s="95"/>
      <c r="B3" s="96"/>
      <c r="C3" s="97" t="s">
        <v>178</v>
      </c>
      <c r="D3" s="97"/>
      <c r="E3" s="97"/>
      <c r="G3" s="97"/>
      <c r="H3" s="97"/>
      <c r="I3" s="97"/>
    </row>
    <row r="4" spans="1:9" ht="18">
      <c r="A4" s="95"/>
      <c r="B4" s="96"/>
      <c r="C4" s="97" t="s">
        <v>5</v>
      </c>
      <c r="D4" s="97"/>
      <c r="E4" s="97"/>
      <c r="G4" s="97"/>
      <c r="H4" s="97"/>
      <c r="I4" s="97"/>
    </row>
    <row r="5" spans="1:9" ht="18">
      <c r="A5" s="95"/>
      <c r="B5" s="96"/>
      <c r="C5" s="97" t="s">
        <v>6</v>
      </c>
      <c r="D5" s="97"/>
      <c r="E5" s="97"/>
      <c r="G5" s="97"/>
      <c r="H5" s="97"/>
      <c r="I5" s="97"/>
    </row>
    <row r="6" spans="1:9">
      <c r="C6" s="46"/>
      <c r="D6" s="46"/>
      <c r="E6" s="46"/>
      <c r="F6" s="46"/>
      <c r="G6" s="46"/>
      <c r="H6" s="46"/>
      <c r="I6" s="46"/>
    </row>
    <row r="7" spans="1:9" ht="15.4">
      <c r="A7" s="54" t="s">
        <v>185</v>
      </c>
      <c r="C7" s="46"/>
      <c r="D7" s="46"/>
      <c r="E7" s="46"/>
      <c r="F7" s="46"/>
      <c r="G7" s="46"/>
      <c r="H7" s="46"/>
      <c r="I7" s="46"/>
    </row>
    <row r="8" spans="1:9" ht="19.149999999999999" customHeight="1">
      <c r="A8" s="55" t="s">
        <v>179</v>
      </c>
      <c r="B8" s="55" t="s">
        <v>68</v>
      </c>
      <c r="C8" s="55" t="s">
        <v>69</v>
      </c>
      <c r="D8" s="55" t="s">
        <v>70</v>
      </c>
      <c r="E8" s="55" t="s">
        <v>180</v>
      </c>
      <c r="F8" s="46"/>
      <c r="G8" s="46"/>
      <c r="H8" s="46"/>
      <c r="I8" s="46"/>
    </row>
    <row r="9" spans="1:9">
      <c r="A9" s="56" t="s">
        <v>13</v>
      </c>
      <c r="B9" s="57">
        <f>'Income Statement'!B13</f>
        <v>24216</v>
      </c>
      <c r="C9" s="57">
        <f>'Income Statement'!C13</f>
        <v>20407</v>
      </c>
      <c r="D9" s="57">
        <f>'Income Statement'!D13</f>
        <v>17859</v>
      </c>
      <c r="E9" s="94" t="s">
        <v>182</v>
      </c>
    </row>
    <row r="10" spans="1:9">
      <c r="A10" s="56" t="s">
        <v>19</v>
      </c>
      <c r="B10" s="57">
        <f>'Income Statement'!B23</f>
        <v>7045</v>
      </c>
      <c r="C10" s="57">
        <f>'Income Statement'!C23</f>
        <v>7574</v>
      </c>
      <c r="D10" s="57">
        <f>'Income Statement'!D23</f>
        <v>6275</v>
      </c>
      <c r="E10" s="94" t="s">
        <v>182</v>
      </c>
    </row>
    <row r="11" spans="1:9">
      <c r="A11" s="56" t="s">
        <v>181</v>
      </c>
      <c r="B11" s="58">
        <f>B10/B9</f>
        <v>0.29092335645853978</v>
      </c>
      <c r="C11" s="58">
        <f>C10/C9</f>
        <v>0.37114715538785709</v>
      </c>
      <c r="D11" s="58">
        <f>D10/D9</f>
        <v>0.35136345820034715</v>
      </c>
      <c r="E11" s="94" t="s">
        <v>183</v>
      </c>
    </row>
    <row r="12" spans="1:9">
      <c r="A12" s="56" t="s">
        <v>22</v>
      </c>
      <c r="B12" s="57">
        <f>'Income Statement'!B30</f>
        <v>5942</v>
      </c>
      <c r="C12" s="57">
        <f>'Income Statement'!C30</f>
        <v>6512</v>
      </c>
      <c r="D12" s="57">
        <f>'Income Statement'!D30</f>
        <v>5676</v>
      </c>
      <c r="E12" s="94" t="s">
        <v>182</v>
      </c>
    </row>
    <row r="13" spans="1:9">
      <c r="A13" s="56" t="s">
        <v>23</v>
      </c>
      <c r="B13" s="59">
        <f>'Income Statement'!B31</f>
        <v>35.31</v>
      </c>
      <c r="C13" s="59">
        <f>'Income Statement'!C31</f>
        <v>42.01</v>
      </c>
      <c r="D13" s="59">
        <f>'Income Statement'!D31</f>
        <v>36.51</v>
      </c>
      <c r="E13" s="94" t="s">
        <v>182</v>
      </c>
    </row>
    <row r="15" spans="1:9" ht="15.4">
      <c r="A15" s="54" t="s">
        <v>184</v>
      </c>
    </row>
    <row r="16" spans="1:9" ht="17.649999999999999" customHeight="1">
      <c r="A16" s="55" t="s">
        <v>179</v>
      </c>
      <c r="B16" s="55" t="s">
        <v>68</v>
      </c>
      <c r="C16" s="55" t="s">
        <v>69</v>
      </c>
      <c r="D16" s="55" t="s">
        <v>70</v>
      </c>
      <c r="E16" s="55" t="s">
        <v>186</v>
      </c>
    </row>
    <row r="17" spans="1:5">
      <c r="A17" s="56" t="s">
        <v>187</v>
      </c>
      <c r="B17" s="57">
        <f>'Balance Sheet'!B9</f>
        <v>11468</v>
      </c>
      <c r="C17" s="57">
        <f>'Balance Sheet'!C9</f>
        <v>12762</v>
      </c>
      <c r="D17" s="57">
        <f>'Balance Sheet'!D9</f>
        <v>8736</v>
      </c>
      <c r="E17" s="94" t="s">
        <v>189</v>
      </c>
    </row>
    <row r="18" spans="1:5">
      <c r="A18" s="56" t="s">
        <v>61</v>
      </c>
      <c r="B18" s="57">
        <f>'Balance Sheet'!B11</f>
        <v>13271</v>
      </c>
      <c r="C18" s="57">
        <f>'Balance Sheet'!C11</f>
        <v>9769</v>
      </c>
      <c r="D18" s="57">
        <f>'Balance Sheet'!D11</f>
        <v>9740</v>
      </c>
      <c r="E18" s="94" t="s">
        <v>189</v>
      </c>
    </row>
    <row r="19" spans="1:5">
      <c r="A19" s="56" t="s">
        <v>193</v>
      </c>
      <c r="B19" s="57">
        <f>'Balance Sheet'!B10</f>
        <v>5158</v>
      </c>
      <c r="C19" s="57">
        <f>'Balance Sheet'!C10</f>
        <v>4304</v>
      </c>
      <c r="D19" s="57">
        <f>'Balance Sheet'!D10</f>
        <v>3916</v>
      </c>
      <c r="E19" s="94" t="s">
        <v>189</v>
      </c>
    </row>
    <row r="20" spans="1:5">
      <c r="A20" s="56" t="s">
        <v>63</v>
      </c>
      <c r="B20" s="57">
        <f>'Balance Sheet'!B17</f>
        <v>169998</v>
      </c>
      <c r="C20" s="57">
        <f>'Balance Sheet'!C17</f>
        <v>138615</v>
      </c>
      <c r="D20" s="57">
        <f>'Balance Sheet'!D17</f>
        <v>123211</v>
      </c>
      <c r="E20" s="94" t="s">
        <v>189</v>
      </c>
    </row>
    <row r="21" spans="1:5">
      <c r="A21" s="56" t="s">
        <v>66</v>
      </c>
      <c r="B21" s="57">
        <f>'Balance Sheet'!B27</f>
        <v>108456</v>
      </c>
      <c r="C21" s="57">
        <f>'Balance Sheet'!C27</f>
        <v>89260</v>
      </c>
      <c r="D21" s="57">
        <f>'Balance Sheet'!D27</f>
        <v>81971</v>
      </c>
      <c r="E21" s="94" t="s">
        <v>189</v>
      </c>
    </row>
    <row r="22" spans="1:5">
      <c r="A22" s="56" t="s">
        <v>67</v>
      </c>
      <c r="B22" s="57">
        <f>'Balance Sheet'!B31</f>
        <v>56115</v>
      </c>
      <c r="C22" s="57">
        <f>'Balance Sheet'!C31</f>
        <v>47664</v>
      </c>
      <c r="D22" s="57">
        <f>'Balance Sheet'!D31</f>
        <v>39500</v>
      </c>
      <c r="E22" s="94" t="s">
        <v>189</v>
      </c>
    </row>
    <row r="23" spans="1:5">
      <c r="A23" s="56" t="s">
        <v>188</v>
      </c>
      <c r="B23" s="57">
        <f>'Balance Sheet'!B16</f>
        <v>63251</v>
      </c>
      <c r="C23" s="57">
        <f>'Balance Sheet'!C16</f>
        <v>46692</v>
      </c>
      <c r="D23" s="57">
        <f>'Balance Sheet'!D16</f>
        <v>33782</v>
      </c>
      <c r="E23" s="94" t="s">
        <v>189</v>
      </c>
    </row>
    <row r="25" spans="1:5" ht="15.4">
      <c r="A25" s="54" t="s">
        <v>190</v>
      </c>
    </row>
    <row r="26" spans="1:5" ht="17.649999999999999" customHeight="1">
      <c r="A26" s="98" t="s">
        <v>179</v>
      </c>
      <c r="B26" s="99" t="s">
        <v>68</v>
      </c>
      <c r="C26" s="99" t="s">
        <v>69</v>
      </c>
      <c r="D26" s="99" t="s">
        <v>70</v>
      </c>
      <c r="E26" s="98" t="s">
        <v>186</v>
      </c>
    </row>
    <row r="27" spans="1:5" ht="17.649999999999999" customHeight="1">
      <c r="A27" s="56" t="s">
        <v>191</v>
      </c>
      <c r="B27" s="57">
        <f>'Cash Flow Statement'!B16</f>
        <v>3927</v>
      </c>
      <c r="C27" s="57">
        <f>'Cash Flow Statement'!C16</f>
        <v>4956</v>
      </c>
      <c r="D27" s="57">
        <f>'Cash Flow Statement'!D16</f>
        <v>4165</v>
      </c>
      <c r="E27" s="94" t="s">
        <v>198</v>
      </c>
    </row>
    <row r="28" spans="1:5" ht="18" customHeight="1">
      <c r="A28" s="56" t="s">
        <v>192</v>
      </c>
      <c r="B28" s="57">
        <f>'Cash Flow Statement'!B23</f>
        <v>-375</v>
      </c>
      <c r="C28" s="59">
        <f>'Cash Flow Statement'!C23</f>
        <v>-255</v>
      </c>
      <c r="D28" s="59">
        <f>'Cash Flow Statement'!D23</f>
        <v>-344</v>
      </c>
      <c r="E28" s="94" t="s">
        <v>198</v>
      </c>
    </row>
    <row r="29" spans="1:5" ht="16.5" customHeight="1">
      <c r="A29" s="56" t="s">
        <v>194</v>
      </c>
      <c r="B29" s="57">
        <f>SUM(B27:B28)</f>
        <v>3552</v>
      </c>
      <c r="C29" s="57">
        <f>SUM(C27:C28)</f>
        <v>4701</v>
      </c>
      <c r="D29" s="57">
        <f>SUM(D27:D28)</f>
        <v>3821</v>
      </c>
      <c r="E29" s="94" t="s">
        <v>183</v>
      </c>
    </row>
    <row r="30" spans="1:5" ht="17.25" customHeight="1">
      <c r="A30" s="56" t="s">
        <v>195</v>
      </c>
      <c r="B30" s="57">
        <f>'Cash Flow Statement'!B24</f>
        <v>-4418</v>
      </c>
      <c r="C30" s="57">
        <f>'Cash Flow Statement'!C24</f>
        <v>-3004</v>
      </c>
      <c r="D30" s="59">
        <f>'Cash Flow Statement'!D24</f>
        <v>-959</v>
      </c>
      <c r="E30" s="94" t="s">
        <v>198</v>
      </c>
    </row>
    <row r="31" spans="1:5" ht="15.75" customHeight="1">
      <c r="A31" s="56" t="s">
        <v>196</v>
      </c>
      <c r="B31" s="57">
        <f>'Cash Flow Statement'!B31</f>
        <v>-1127</v>
      </c>
      <c r="C31" s="57">
        <f>'Cash Flow Statement'!C31</f>
        <v>2236</v>
      </c>
      <c r="D31" s="57">
        <f>'Cash Flow Statement'!D31</f>
        <v>-1992</v>
      </c>
      <c r="E31" s="94" t="s">
        <v>198</v>
      </c>
    </row>
    <row r="32" spans="1:5" ht="16.149999999999999" customHeight="1">
      <c r="A32" s="56" t="s">
        <v>197</v>
      </c>
      <c r="B32" s="57">
        <f>'Cash Flow Statement'!B36</f>
        <v>11490</v>
      </c>
      <c r="C32" s="57">
        <f>'Cash Flow Statement'!C36</f>
        <v>12779</v>
      </c>
      <c r="D32" s="57">
        <f>'Cash Flow Statement'!D36</f>
        <v>8753</v>
      </c>
      <c r="E32" s="94" t="s">
        <v>198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FF5B8-983E-4BC0-B11A-D01C0138BF8C}">
  <dimension ref="A2:F34"/>
  <sheetViews>
    <sheetView zoomScale="59" workbookViewId="0">
      <selection activeCell="B2" sqref="B2"/>
    </sheetView>
  </sheetViews>
  <sheetFormatPr defaultRowHeight="14.25"/>
  <cols>
    <col min="1" max="1" width="83.1328125" customWidth="1"/>
    <col min="2" max="2" width="57.59765625" style="108" customWidth="1"/>
    <col min="3" max="3" width="16.86328125" style="108" customWidth="1"/>
    <col min="4" max="4" width="20.46484375" style="108" customWidth="1"/>
    <col min="5" max="5" width="22.73046875" style="108" customWidth="1"/>
    <col min="6" max="6" width="63.265625" style="116" customWidth="1"/>
  </cols>
  <sheetData>
    <row r="2" spans="1:6" ht="20.25">
      <c r="B2" s="106"/>
      <c r="C2" s="48" t="s">
        <v>3</v>
      </c>
      <c r="D2" s="106"/>
    </row>
    <row r="3" spans="1:6" ht="20.25">
      <c r="B3" s="106"/>
      <c r="C3" s="48" t="s">
        <v>200</v>
      </c>
      <c r="D3" s="106"/>
    </row>
    <row r="4" spans="1:6" ht="20.25">
      <c r="B4" s="106"/>
      <c r="C4" s="48" t="s">
        <v>5</v>
      </c>
      <c r="D4" s="106"/>
    </row>
    <row r="6" spans="1:6" ht="21" customHeight="1">
      <c r="A6" s="104" t="s">
        <v>201</v>
      </c>
      <c r="B6" s="105" t="s">
        <v>202</v>
      </c>
      <c r="C6" s="105" t="s">
        <v>203</v>
      </c>
      <c r="D6" s="105" t="s">
        <v>204</v>
      </c>
      <c r="E6" s="105" t="s">
        <v>205</v>
      </c>
      <c r="F6" s="117" t="s">
        <v>24</v>
      </c>
    </row>
    <row r="7" spans="1:6">
      <c r="A7" s="107" t="s">
        <v>206</v>
      </c>
    </row>
    <row r="8" spans="1:6" ht="54" customHeight="1">
      <c r="A8" s="8" t="s">
        <v>207</v>
      </c>
      <c r="B8" s="108" t="s">
        <v>225</v>
      </c>
      <c r="C8" s="109">
        <f>('Income Statement'!B13-'Income Statement'!C13)/'Income Statement'!C13</f>
        <v>0.18665163914343116</v>
      </c>
      <c r="D8" s="109">
        <f>('Income Statement'!C13-'Income Statement'!D13)/'Income Statement'!D13</f>
        <v>0.14267316199115293</v>
      </c>
      <c r="E8" s="109" t="s">
        <v>33</v>
      </c>
      <c r="F8" s="116" t="s">
        <v>237</v>
      </c>
    </row>
    <row r="9" spans="1:6" ht="53.65" customHeight="1">
      <c r="A9" s="8" t="s">
        <v>208</v>
      </c>
      <c r="B9" s="108" t="s">
        <v>224</v>
      </c>
      <c r="C9" s="109">
        <f>'Income Statement'!B23/'Income Statement'!B13</f>
        <v>0.29092335645853978</v>
      </c>
      <c r="D9" s="109">
        <f>'Income Statement'!C23/'Income Statement'!C13</f>
        <v>0.37114715538785709</v>
      </c>
      <c r="E9" s="109">
        <f>'Income Statement'!D23/'Income Statement'!D13</f>
        <v>0.35136345820034715</v>
      </c>
      <c r="F9" s="116" t="s">
        <v>238</v>
      </c>
    </row>
    <row r="10" spans="1:6" ht="55.5" customHeight="1">
      <c r="A10" s="8" t="s">
        <v>209</v>
      </c>
      <c r="B10" s="108" t="s">
        <v>226</v>
      </c>
      <c r="C10" s="109">
        <f>'Income Statement'!B30/'Income Statement'!B13</f>
        <v>0.24537495870498843</v>
      </c>
      <c r="D10" s="109">
        <f>'Income Statement'!C30/'Income Statement'!C13</f>
        <v>0.31910618905277599</v>
      </c>
      <c r="E10" s="109">
        <f>'Income Statement'!D30/'Income Statement'!D13</f>
        <v>0.317822946413573</v>
      </c>
      <c r="F10" s="116" t="s">
        <v>239</v>
      </c>
    </row>
    <row r="11" spans="1:6" ht="35.25" customHeight="1">
      <c r="A11" s="8" t="s">
        <v>222</v>
      </c>
      <c r="B11" s="108" t="s">
        <v>227</v>
      </c>
      <c r="C11" s="109">
        <f>'Income Statement'!B30/AVERAGE('Balance Sheet'!B17,'Balance Sheet'!C17)</f>
        <v>3.8507775109927318E-2</v>
      </c>
      <c r="D11" s="109">
        <f>'Income Statement'!C30/AVERAGE('Balance Sheet'!C17,'Balance Sheet'!D17)</f>
        <v>4.9742959064416829E-2</v>
      </c>
      <c r="E11" s="109" t="s">
        <v>33</v>
      </c>
      <c r="F11" s="116" t="s">
        <v>240</v>
      </c>
    </row>
    <row r="12" spans="1:6" ht="37.9" customHeight="1">
      <c r="A12" s="8" t="s">
        <v>223</v>
      </c>
      <c r="B12" s="108" t="s">
        <v>228</v>
      </c>
      <c r="C12" s="109">
        <f>'Income Statement'!B30/AVERAGE('Balance Sheet'!B31,'Balance Sheet'!C31)</f>
        <v>0.1145125699804392</v>
      </c>
      <c r="D12" s="109">
        <f>'Income Statement'!C30/AVERAGE('Balance Sheet'!C31,'Balance Sheet'!D31)</f>
        <v>0.14941948510853104</v>
      </c>
      <c r="E12" s="109" t="s">
        <v>33</v>
      </c>
      <c r="F12" s="116" t="s">
        <v>323</v>
      </c>
    </row>
    <row r="13" spans="1:6">
      <c r="A13" s="8"/>
      <c r="C13" s="109"/>
      <c r="D13" s="109"/>
      <c r="E13" s="109"/>
    </row>
    <row r="14" spans="1:6">
      <c r="A14" s="107" t="s">
        <v>210</v>
      </c>
      <c r="C14" s="109"/>
      <c r="D14" s="109"/>
      <c r="E14" s="109"/>
    </row>
    <row r="15" spans="1:6" ht="50.65" customHeight="1">
      <c r="A15" s="8" t="s">
        <v>211</v>
      </c>
      <c r="B15" s="108" t="s">
        <v>229</v>
      </c>
      <c r="C15" s="110">
        <f>'Balance Sheet'!B9/'Balance Sheet'!B27</f>
        <v>0.1057387327579848</v>
      </c>
      <c r="D15" s="110">
        <f>'Balance Sheet'!C9/'Balance Sheet'!C27</f>
        <v>0.14297557696616625</v>
      </c>
      <c r="E15" s="110">
        <f>'Balance Sheet'!D9/'Balance Sheet'!D27</f>
        <v>0.10657427626843639</v>
      </c>
      <c r="F15" s="116" t="s">
        <v>241</v>
      </c>
    </row>
    <row r="16" spans="1:6">
      <c r="A16" s="8"/>
      <c r="C16" s="109"/>
      <c r="D16" s="109"/>
      <c r="E16" s="109"/>
    </row>
    <row r="17" spans="1:6">
      <c r="A17" s="107" t="s">
        <v>212</v>
      </c>
      <c r="C17" s="109"/>
      <c r="D17" s="109"/>
      <c r="E17" s="109"/>
    </row>
    <row r="18" spans="1:6" ht="37.5" customHeight="1">
      <c r="A18" s="8" t="s">
        <v>213</v>
      </c>
      <c r="B18" s="108" t="s">
        <v>230</v>
      </c>
      <c r="C18" s="109">
        <f>'Balance Sheet'!B27/'Balance Sheet'!B17</f>
        <v>0.63798397628207393</v>
      </c>
      <c r="D18" s="109">
        <f>'Balance Sheet'!C27/'Balance Sheet'!C17</f>
        <v>0.64394185333477616</v>
      </c>
      <c r="E18" s="109">
        <f>'Balance Sheet'!D27/'Balance Sheet'!D17</f>
        <v>0.66528962511464074</v>
      </c>
      <c r="F18" s="116" t="s">
        <v>242</v>
      </c>
    </row>
    <row r="19" spans="1:6" ht="37.9" customHeight="1">
      <c r="A19" s="8" t="s">
        <v>214</v>
      </c>
      <c r="B19" s="108" t="s">
        <v>231</v>
      </c>
      <c r="C19" s="109">
        <f>'Balance Sheet'!B31/'Balance Sheet'!B17</f>
        <v>0.33009211873080857</v>
      </c>
      <c r="D19" s="109">
        <f>'Balance Sheet'!C31/'Balance Sheet'!C17</f>
        <v>0.34385888973054862</v>
      </c>
      <c r="E19" s="109">
        <f>'Balance Sheet'!D31/'Balance Sheet'!D17</f>
        <v>0.32058825916517192</v>
      </c>
      <c r="F19" s="116" t="s">
        <v>243</v>
      </c>
    </row>
    <row r="20" spans="1:6" ht="52.15" customHeight="1">
      <c r="A20" s="8" t="s">
        <v>215</v>
      </c>
      <c r="B20" s="108" t="s">
        <v>232</v>
      </c>
      <c r="C20" s="110">
        <f>'Balance Sheet'!B27/'Balance Sheet'!B31</f>
        <v>1.9327452552793372</v>
      </c>
      <c r="D20" s="110">
        <f>'Balance Sheet'!C27/'Balance Sheet'!C31</f>
        <v>1.8726921785834172</v>
      </c>
      <c r="E20" s="110">
        <f>'Balance Sheet'!D27/'Balance Sheet'!D31</f>
        <v>2.0752151898734179</v>
      </c>
      <c r="F20" s="116" t="s">
        <v>244</v>
      </c>
    </row>
    <row r="21" spans="1:6">
      <c r="A21" s="8"/>
      <c r="C21" s="109"/>
      <c r="D21" s="109"/>
      <c r="E21" s="109"/>
    </row>
    <row r="22" spans="1:6">
      <c r="A22" s="107" t="s">
        <v>216</v>
      </c>
      <c r="C22" s="109"/>
      <c r="D22" s="109"/>
      <c r="E22" s="109"/>
    </row>
    <row r="23" spans="1:6" ht="34.15" customHeight="1">
      <c r="A23" s="8" t="s">
        <v>217</v>
      </c>
      <c r="B23" s="108" t="s">
        <v>233</v>
      </c>
      <c r="C23" s="110">
        <f>'Income Statement'!B13/AVERAGE('Balance Sheet'!B17,'Balance Sheet'!C17)</f>
        <v>0.1569344130026927</v>
      </c>
      <c r="D23" s="110">
        <f>'Income Statement'!C13/AVERAGE('Balance Sheet'!C17,'Balance Sheet'!D17)</f>
        <v>0.15588215074133202</v>
      </c>
      <c r="E23" s="109" t="s">
        <v>33</v>
      </c>
      <c r="F23" s="116" t="s">
        <v>245</v>
      </c>
    </row>
    <row r="24" spans="1:6" ht="39.75" customHeight="1">
      <c r="A24" s="8" t="s">
        <v>218</v>
      </c>
      <c r="B24" s="108" t="s">
        <v>234</v>
      </c>
      <c r="C24" s="110">
        <f>'Income Statement'!B13/AVERAGE('Balance Sheet'!B10,'Balance Sheet'!C10)</f>
        <v>5.1185795814838304</v>
      </c>
      <c r="D24" s="110">
        <f>'Income Statement'!C13/AVERAGE('Balance Sheet'!C10,'Balance Sheet'!D10)</f>
        <v>4.9652068126520685</v>
      </c>
      <c r="E24" s="109" t="s">
        <v>33</v>
      </c>
      <c r="F24" s="116" t="s">
        <v>246</v>
      </c>
    </row>
    <row r="25" spans="1:6">
      <c r="A25" s="8"/>
      <c r="C25" s="109"/>
      <c r="D25" s="109"/>
      <c r="E25" s="109"/>
    </row>
    <row r="26" spans="1:6">
      <c r="A26" s="107" t="s">
        <v>219</v>
      </c>
      <c r="C26" s="109"/>
      <c r="D26" s="109"/>
      <c r="E26" s="109"/>
    </row>
    <row r="27" spans="1:6" ht="53.65" customHeight="1">
      <c r="A27" s="8" t="s">
        <v>220</v>
      </c>
      <c r="B27" s="108" t="s">
        <v>235</v>
      </c>
      <c r="C27" s="109">
        <f>'Cash Flow Statement'!B16/'Income Statement'!B13</f>
        <v>0.16216551040634292</v>
      </c>
      <c r="D27" s="109">
        <f>'Cash Flow Statement'!C16/'Income Statement'!C13</f>
        <v>0.24285784289704512</v>
      </c>
      <c r="E27" s="109">
        <f>'Cash Flow Statement'!D16/'Income Statement'!D13</f>
        <v>0.2332157455624615</v>
      </c>
      <c r="F27" s="116" t="s">
        <v>247</v>
      </c>
    </row>
    <row r="28" spans="1:6" ht="44.65" customHeight="1">
      <c r="A28" s="8" t="s">
        <v>221</v>
      </c>
      <c r="B28" s="108" t="s">
        <v>236</v>
      </c>
      <c r="C28" s="109">
        <f>('Cash Flow Statement'!B16-'Cash Flow Statement'!B23)/'Income Statement'!B13</f>
        <v>0.17765113974231914</v>
      </c>
      <c r="D28" s="109">
        <f>('Cash Flow Statement'!C16-'Cash Flow Statement'!C23)/'Income Statement'!C13</f>
        <v>0.25535355515264369</v>
      </c>
      <c r="E28" s="109">
        <f>('Cash Flow Statement'!D16-'Cash Flow Statement'!D23)/'Income Statement'!D13</f>
        <v>0.25247774231479925</v>
      </c>
      <c r="F28" s="116" t="s">
        <v>248</v>
      </c>
    </row>
    <row r="29" spans="1:6">
      <c r="A29" s="8"/>
      <c r="C29" s="109"/>
      <c r="D29" s="109"/>
      <c r="E29" s="109"/>
    </row>
    <row r="30" spans="1:6">
      <c r="A30" s="107"/>
      <c r="C30" s="109"/>
      <c r="D30" s="109"/>
      <c r="E30" s="109"/>
    </row>
    <row r="31" spans="1:6">
      <c r="A31" s="8"/>
      <c r="C31" s="109"/>
      <c r="D31" s="109"/>
      <c r="E31" s="109"/>
    </row>
    <row r="32" spans="1:6" ht="209.25" customHeight="1">
      <c r="A32" s="41" t="s">
        <v>249</v>
      </c>
    </row>
    <row r="34" spans="1:1" ht="144.4" customHeight="1">
      <c r="A34" s="28" t="s">
        <v>250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D1F37-BD0A-4387-B16A-ED4D5033CA8A}">
  <dimension ref="A2:BU52"/>
  <sheetViews>
    <sheetView topLeftCell="B1" zoomScale="52" workbookViewId="0">
      <selection activeCell="M16" sqref="M16"/>
    </sheetView>
  </sheetViews>
  <sheetFormatPr defaultRowHeight="14.25"/>
  <cols>
    <col min="1" max="1" width="45.1328125" customWidth="1"/>
    <col min="2" max="2" width="21.33203125" customWidth="1"/>
    <col min="3" max="3" width="24.53125" customWidth="1"/>
    <col min="4" max="5" width="17.3984375" customWidth="1"/>
    <col min="15" max="15" width="51.3984375" customWidth="1"/>
    <col min="16" max="16" width="21.73046875" customWidth="1"/>
    <col min="17" max="17" width="24.86328125" customWidth="1"/>
    <col min="18" max="18" width="23.33203125" customWidth="1"/>
  </cols>
  <sheetData>
    <row r="2" spans="1:18" ht="20.25">
      <c r="K2" s="176"/>
      <c r="L2" s="9"/>
      <c r="M2" s="48" t="s">
        <v>3</v>
      </c>
      <c r="N2" s="106"/>
      <c r="O2" s="106"/>
    </row>
    <row r="3" spans="1:18" ht="20.25">
      <c r="K3" s="9"/>
      <c r="L3" s="9"/>
      <c r="M3" s="48" t="s">
        <v>251</v>
      </c>
      <c r="N3" s="106"/>
      <c r="O3" s="106"/>
    </row>
    <row r="4" spans="1:18" ht="20.25">
      <c r="K4" s="9"/>
      <c r="L4" s="9"/>
      <c r="M4" s="48" t="s">
        <v>5</v>
      </c>
      <c r="N4" s="106"/>
      <c r="O4" s="106"/>
    </row>
    <row r="6" spans="1:18" ht="27.75" customHeight="1">
      <c r="A6" s="123" t="s">
        <v>252</v>
      </c>
      <c r="O6" s="122" t="s">
        <v>255</v>
      </c>
    </row>
    <row r="7" spans="1:18" ht="25.5" customHeight="1">
      <c r="A7" s="118" t="s">
        <v>253</v>
      </c>
      <c r="B7" s="118" t="s">
        <v>254</v>
      </c>
      <c r="C7" s="118" t="s">
        <v>22</v>
      </c>
      <c r="O7" s="118" t="s">
        <v>253</v>
      </c>
      <c r="P7" s="118" t="s">
        <v>63</v>
      </c>
      <c r="Q7" s="118" t="s">
        <v>66</v>
      </c>
      <c r="R7" s="118" t="s">
        <v>67</v>
      </c>
    </row>
    <row r="8" spans="1:18">
      <c r="A8" s="119">
        <v>2023</v>
      </c>
      <c r="B8" s="120">
        <v>17859</v>
      </c>
      <c r="C8" s="120">
        <v>5676</v>
      </c>
      <c r="O8" s="119">
        <v>2023</v>
      </c>
      <c r="P8" s="121">
        <v>123211</v>
      </c>
      <c r="Q8" s="121">
        <v>81971</v>
      </c>
      <c r="R8" s="121">
        <v>39500</v>
      </c>
    </row>
    <row r="9" spans="1:18">
      <c r="A9" s="119">
        <v>2024</v>
      </c>
      <c r="B9" s="121">
        <v>20407</v>
      </c>
      <c r="C9" s="121">
        <v>6512</v>
      </c>
      <c r="O9" s="119">
        <v>2024</v>
      </c>
      <c r="P9" s="121">
        <v>138615</v>
      </c>
      <c r="Q9" s="121">
        <v>89260</v>
      </c>
      <c r="R9" s="121">
        <v>47664</v>
      </c>
    </row>
    <row r="10" spans="1:18">
      <c r="A10" s="119">
        <v>2025</v>
      </c>
      <c r="B10" s="121">
        <v>24216</v>
      </c>
      <c r="C10" s="121">
        <v>5942</v>
      </c>
      <c r="O10" s="119">
        <v>2025</v>
      </c>
      <c r="P10" s="121">
        <v>169998</v>
      </c>
      <c r="Q10" s="121">
        <v>108456</v>
      </c>
      <c r="R10" s="121">
        <v>56115</v>
      </c>
    </row>
    <row r="25" spans="1:73" ht="26.65" customHeight="1">
      <c r="A25" s="122" t="s">
        <v>256</v>
      </c>
      <c r="O25" s="123" t="s">
        <v>257</v>
      </c>
    </row>
    <row r="26" spans="1:73" ht="20.25" customHeight="1">
      <c r="A26" s="118" t="s">
        <v>253</v>
      </c>
      <c r="B26" s="118" t="s">
        <v>208</v>
      </c>
      <c r="C26" s="118" t="s">
        <v>209</v>
      </c>
      <c r="O26" s="118" t="s">
        <v>253</v>
      </c>
      <c r="P26" s="118" t="s">
        <v>191</v>
      </c>
      <c r="Q26" s="118" t="s">
        <v>195</v>
      </c>
      <c r="R26" s="118" t="s">
        <v>196</v>
      </c>
      <c r="BS26" s="129"/>
      <c r="BT26" s="131"/>
      <c r="BU26" s="131"/>
    </row>
    <row r="27" spans="1:73">
      <c r="A27" s="119">
        <v>2023</v>
      </c>
      <c r="B27" s="124">
        <v>0.35099999999999998</v>
      </c>
      <c r="C27" s="124">
        <v>0.318</v>
      </c>
      <c r="O27" s="119">
        <v>2023</v>
      </c>
      <c r="P27" s="121">
        <v>4165</v>
      </c>
      <c r="Q27" s="119">
        <v>-959</v>
      </c>
      <c r="R27" s="121">
        <v>-1992</v>
      </c>
      <c r="BS27" s="132"/>
      <c r="BT27" s="130"/>
      <c r="BU27" s="130"/>
    </row>
    <row r="28" spans="1:73">
      <c r="A28" s="119">
        <v>2024</v>
      </c>
      <c r="B28" s="124">
        <v>0.371</v>
      </c>
      <c r="C28" s="124">
        <v>0.31900000000000001</v>
      </c>
      <c r="O28" s="119">
        <v>2024</v>
      </c>
      <c r="P28" s="121">
        <v>4956</v>
      </c>
      <c r="Q28" s="121">
        <v>-3004</v>
      </c>
      <c r="R28" s="121">
        <v>2236</v>
      </c>
      <c r="BS28" s="132"/>
      <c r="BT28" s="130"/>
      <c r="BU28" s="130"/>
    </row>
    <row r="29" spans="1:73">
      <c r="A29" s="119">
        <v>2025</v>
      </c>
      <c r="B29" s="124">
        <v>0.29099999999999998</v>
      </c>
      <c r="C29" s="124">
        <v>0.245</v>
      </c>
      <c r="O29" s="119">
        <v>2025</v>
      </c>
      <c r="P29" s="121">
        <v>3927</v>
      </c>
      <c r="Q29" s="121">
        <v>-4418</v>
      </c>
      <c r="R29" s="121">
        <v>-1127</v>
      </c>
    </row>
    <row r="46" spans="1:17" ht="25.15" customHeight="1">
      <c r="A46" s="123" t="s">
        <v>258</v>
      </c>
      <c r="O46" s="165" t="s">
        <v>321</v>
      </c>
    </row>
    <row r="47" spans="1:17" ht="20.65" customHeight="1">
      <c r="A47" s="118" t="s">
        <v>253</v>
      </c>
      <c r="B47" s="118" t="s">
        <v>217</v>
      </c>
      <c r="C47" s="118" t="s">
        <v>218</v>
      </c>
      <c r="D47" s="103"/>
      <c r="E47" s="103"/>
      <c r="O47" s="118" t="s">
        <v>279</v>
      </c>
      <c r="P47" s="118" t="s">
        <v>304</v>
      </c>
      <c r="Q47" s="168" t="s">
        <v>285</v>
      </c>
    </row>
    <row r="48" spans="1:17" ht="19.5" customHeight="1">
      <c r="A48" s="66">
        <v>2024</v>
      </c>
      <c r="B48" s="137">
        <v>0.15</v>
      </c>
      <c r="C48" s="137">
        <v>4.97</v>
      </c>
      <c r="D48" s="125"/>
      <c r="E48" s="126"/>
      <c r="O48" s="141" t="s">
        <v>281</v>
      </c>
      <c r="P48" s="161">
        <v>24.41</v>
      </c>
      <c r="Q48" s="169">
        <v>15.25</v>
      </c>
    </row>
    <row r="49" spans="1:17" ht="19.5" customHeight="1">
      <c r="A49" s="66">
        <v>2025</v>
      </c>
      <c r="B49" s="137">
        <v>0.14000000000000001</v>
      </c>
      <c r="C49" s="137">
        <v>5.12</v>
      </c>
      <c r="D49" s="125"/>
      <c r="E49" s="126"/>
      <c r="O49" s="141" t="s">
        <v>282</v>
      </c>
      <c r="P49" s="161">
        <v>11.37</v>
      </c>
      <c r="Q49" s="169">
        <v>15.25</v>
      </c>
    </row>
    <row r="50" spans="1:17">
      <c r="O50" s="141" t="s">
        <v>283</v>
      </c>
      <c r="P50" s="161">
        <v>15.25</v>
      </c>
      <c r="Q50" s="169">
        <v>15.25</v>
      </c>
    </row>
    <row r="51" spans="1:17">
      <c r="O51" s="141" t="s">
        <v>284</v>
      </c>
      <c r="P51" s="161">
        <v>16.03</v>
      </c>
      <c r="Q51" s="169">
        <v>15.25</v>
      </c>
    </row>
    <row r="52" spans="1:17">
      <c r="O52" s="166"/>
      <c r="P52" s="167"/>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55D66-264A-429F-89A0-0479C57FF4E2}">
  <dimension ref="A2:AC82"/>
  <sheetViews>
    <sheetView tabSelected="1" topLeftCell="A57" zoomScale="76" workbookViewId="0">
      <selection activeCell="B89" sqref="B89"/>
    </sheetView>
  </sheetViews>
  <sheetFormatPr defaultRowHeight="14.25"/>
  <cols>
    <col min="1" max="1" width="35.265625" customWidth="1"/>
    <col min="2" max="2" width="15" customWidth="1"/>
    <col min="3" max="3" width="15.796875" customWidth="1"/>
    <col min="4" max="4" width="11.46484375" bestFit="1" customWidth="1"/>
    <col min="5" max="5" width="13.6640625" customWidth="1"/>
    <col min="6" max="6" width="13.46484375" customWidth="1"/>
    <col min="7" max="7" width="8.3984375" customWidth="1"/>
  </cols>
  <sheetData>
    <row r="2" spans="1:29" ht="22.5">
      <c r="A2" s="176"/>
      <c r="B2" s="176"/>
      <c r="C2" s="176"/>
      <c r="D2" s="176"/>
      <c r="E2" s="48" t="s">
        <v>3</v>
      </c>
      <c r="F2" s="48"/>
      <c r="G2" s="48"/>
      <c r="H2" s="48"/>
      <c r="I2" s="48"/>
      <c r="J2" s="48"/>
      <c r="P2" s="127"/>
      <c r="AA2" s="129"/>
      <c r="AB2" s="129"/>
      <c r="AC2" s="131"/>
    </row>
    <row r="3" spans="1:29" ht="22.5">
      <c r="A3" s="176"/>
      <c r="B3" s="176"/>
      <c r="C3" s="176"/>
      <c r="D3" s="176"/>
      <c r="E3" s="48" t="s">
        <v>259</v>
      </c>
      <c r="F3" s="48"/>
      <c r="G3" s="48"/>
      <c r="H3" s="48"/>
      <c r="I3" s="48"/>
      <c r="J3" s="48"/>
      <c r="P3" s="127"/>
      <c r="AA3" s="129"/>
      <c r="AB3" s="132"/>
      <c r="AC3" s="130"/>
    </row>
    <row r="4" spans="1:29" ht="22.5">
      <c r="A4" s="176"/>
      <c r="B4" s="176"/>
      <c r="C4" s="176"/>
      <c r="D4" s="176"/>
      <c r="E4" s="48" t="s">
        <v>5</v>
      </c>
      <c r="F4" s="48"/>
      <c r="G4" s="48"/>
      <c r="H4" s="48"/>
      <c r="I4" s="48"/>
      <c r="J4" s="48"/>
      <c r="P4" s="127"/>
      <c r="AA4" s="129"/>
      <c r="AB4" s="133"/>
      <c r="AC4" s="130"/>
    </row>
    <row r="5" spans="1:29" ht="22.5">
      <c r="A5" s="176"/>
      <c r="B5" s="176"/>
      <c r="C5" s="176"/>
      <c r="D5" s="176"/>
      <c r="E5" s="48" t="s">
        <v>260</v>
      </c>
      <c r="F5" s="48"/>
      <c r="G5" s="48"/>
      <c r="H5" s="48"/>
      <c r="I5" s="48"/>
      <c r="J5" s="48"/>
      <c r="P5" s="127"/>
      <c r="AA5" s="129"/>
      <c r="AB5" s="132"/>
      <c r="AC5" s="130"/>
    </row>
    <row r="6" spans="1:29" ht="17.649999999999999" customHeight="1">
      <c r="AA6" s="129"/>
      <c r="AB6" s="133"/>
      <c r="AC6" s="134"/>
    </row>
    <row r="7" spans="1:29" ht="18.75">
      <c r="A7" s="128" t="s">
        <v>261</v>
      </c>
    </row>
    <row r="8" spans="1:29">
      <c r="F8" s="40"/>
    </row>
    <row r="9" spans="1:29">
      <c r="F9" s="40"/>
    </row>
    <row r="36" spans="1:12" ht="15">
      <c r="A36" s="183" t="s">
        <v>253</v>
      </c>
      <c r="B36" s="183" t="s">
        <v>254</v>
      </c>
      <c r="C36" s="183" t="s">
        <v>22</v>
      </c>
      <c r="D36" s="8"/>
      <c r="E36" s="8"/>
      <c r="F36" s="8"/>
      <c r="G36" s="8"/>
      <c r="H36" s="8"/>
      <c r="I36" s="8"/>
      <c r="J36" s="8"/>
      <c r="K36" s="8"/>
    </row>
    <row r="37" spans="1:12" ht="15">
      <c r="A37" s="138">
        <v>2023</v>
      </c>
      <c r="B37" s="139">
        <v>17859</v>
      </c>
      <c r="C37" s="139">
        <v>5502</v>
      </c>
      <c r="D37" s="8"/>
      <c r="E37" s="8"/>
      <c r="F37" s="8"/>
      <c r="G37" s="8"/>
      <c r="H37" s="8"/>
      <c r="I37" s="8"/>
      <c r="J37" s="8"/>
      <c r="K37" s="8"/>
      <c r="L37" t="s">
        <v>277</v>
      </c>
    </row>
    <row r="38" spans="1:12" ht="15">
      <c r="A38" s="138">
        <v>2024</v>
      </c>
      <c r="B38" s="139">
        <v>20407</v>
      </c>
      <c r="C38" s="139">
        <v>6369</v>
      </c>
      <c r="D38" s="8"/>
      <c r="E38" s="8"/>
      <c r="F38" s="8"/>
      <c r="G38" s="8"/>
      <c r="H38" s="8"/>
      <c r="I38" s="8"/>
      <c r="J38" s="8"/>
      <c r="K38" s="8"/>
    </row>
    <row r="39" spans="1:12" ht="15">
      <c r="A39" s="138">
        <v>2025</v>
      </c>
      <c r="B39" s="139">
        <v>24216</v>
      </c>
      <c r="C39" s="139">
        <v>5553</v>
      </c>
      <c r="D39" s="8"/>
      <c r="E39" s="8"/>
      <c r="F39" s="8"/>
      <c r="G39" s="8"/>
      <c r="H39" s="8"/>
      <c r="I39" s="8"/>
      <c r="J39" s="8"/>
      <c r="K39" s="8"/>
    </row>
    <row r="40" spans="1:12">
      <c r="A40" s="8"/>
      <c r="B40" s="8"/>
      <c r="C40" s="8"/>
      <c r="D40" s="8"/>
      <c r="E40" s="8"/>
      <c r="F40" s="8"/>
      <c r="G40" s="8"/>
      <c r="H40" s="8"/>
      <c r="I40" s="8"/>
      <c r="J40" s="8"/>
      <c r="K40" s="8"/>
    </row>
    <row r="41" spans="1:12">
      <c r="A41" s="8"/>
      <c r="B41" s="8"/>
      <c r="C41" s="8"/>
      <c r="D41" s="8"/>
      <c r="E41" s="8"/>
      <c r="F41" s="8"/>
      <c r="G41" s="8"/>
      <c r="H41" s="8"/>
      <c r="I41" s="8"/>
      <c r="J41" s="8"/>
      <c r="K41" s="8"/>
    </row>
    <row r="42" spans="1:12">
      <c r="A42" s="8"/>
      <c r="B42" s="8"/>
      <c r="C42" s="8"/>
      <c r="D42" s="8"/>
      <c r="E42" s="8"/>
      <c r="F42" s="8"/>
      <c r="G42" s="8"/>
      <c r="H42" s="8"/>
      <c r="I42" s="8"/>
      <c r="J42" s="8"/>
      <c r="K42" s="8"/>
    </row>
    <row r="43" spans="1:12">
      <c r="A43" s="8"/>
      <c r="B43" s="8"/>
      <c r="C43" s="8"/>
      <c r="D43" s="8"/>
      <c r="E43" s="8"/>
      <c r="F43" s="8"/>
      <c r="G43" s="8"/>
      <c r="H43" s="8"/>
      <c r="I43" s="8"/>
      <c r="J43" s="8"/>
      <c r="K43" s="8"/>
    </row>
    <row r="44" spans="1:12">
      <c r="A44" s="8"/>
      <c r="B44" s="8"/>
      <c r="C44" s="8"/>
      <c r="D44" s="8"/>
      <c r="E44" s="8"/>
      <c r="F44" s="8"/>
      <c r="G44" s="8"/>
      <c r="H44" s="8"/>
      <c r="I44" s="8"/>
      <c r="J44" s="8"/>
      <c r="K44" s="8"/>
    </row>
    <row r="45" spans="1:12">
      <c r="A45" s="8"/>
      <c r="B45" s="8"/>
      <c r="C45" s="8"/>
      <c r="D45" s="8"/>
      <c r="E45" s="8"/>
      <c r="F45" s="8"/>
      <c r="G45" s="8"/>
      <c r="H45" s="8"/>
      <c r="I45" s="8"/>
      <c r="J45" s="8"/>
      <c r="K45" s="8"/>
    </row>
    <row r="46" spans="1:12">
      <c r="A46" s="8"/>
      <c r="B46" s="8"/>
      <c r="C46" s="8"/>
      <c r="D46" s="8"/>
      <c r="E46" s="8"/>
      <c r="F46" s="8"/>
      <c r="G46" s="8"/>
      <c r="H46" s="8"/>
      <c r="I46" s="8"/>
      <c r="J46" s="8"/>
      <c r="K46" s="8"/>
    </row>
    <row r="47" spans="1:12">
      <c r="A47" s="8"/>
      <c r="B47" s="8"/>
      <c r="C47" s="8"/>
      <c r="D47" s="8"/>
      <c r="E47" s="8"/>
      <c r="F47" s="8"/>
      <c r="G47" s="8"/>
      <c r="H47" s="8"/>
      <c r="I47" s="8"/>
      <c r="J47" s="8"/>
      <c r="K47" s="8"/>
    </row>
    <row r="48" spans="1:12">
      <c r="A48" s="8"/>
      <c r="B48" s="8"/>
      <c r="C48" s="8"/>
      <c r="D48" s="8"/>
      <c r="E48" s="8"/>
      <c r="F48" s="8"/>
      <c r="G48" s="8"/>
      <c r="H48" s="8"/>
      <c r="I48" s="8"/>
      <c r="J48" s="8"/>
      <c r="K48" s="8"/>
    </row>
    <row r="49" spans="1:11">
      <c r="A49" s="8"/>
      <c r="B49" s="8"/>
      <c r="C49" s="8"/>
      <c r="D49" s="8"/>
      <c r="E49" s="8"/>
      <c r="F49" s="8"/>
      <c r="G49" s="8"/>
      <c r="H49" s="8"/>
      <c r="I49" s="8"/>
      <c r="J49" s="8"/>
      <c r="K49" s="8"/>
    </row>
    <row r="50" spans="1:11">
      <c r="A50" s="8"/>
      <c r="B50" s="8"/>
      <c r="C50" s="8"/>
      <c r="D50" s="8"/>
      <c r="E50" s="8"/>
      <c r="F50" s="8"/>
      <c r="G50" s="8"/>
      <c r="H50" s="8"/>
      <c r="I50" s="8"/>
      <c r="J50" s="8"/>
      <c r="K50" s="8"/>
    </row>
    <row r="51" spans="1:11">
      <c r="A51" s="8"/>
      <c r="B51" s="8"/>
      <c r="C51" s="8"/>
      <c r="D51" s="8"/>
      <c r="E51" s="8"/>
      <c r="F51" s="8"/>
      <c r="G51" s="8"/>
      <c r="H51" s="8"/>
      <c r="I51" s="8"/>
      <c r="J51" s="8"/>
      <c r="K51" s="8"/>
    </row>
    <row r="52" spans="1:11" ht="20.25" customHeight="1">
      <c r="A52" s="140" t="s">
        <v>262</v>
      </c>
      <c r="B52" s="8"/>
      <c r="C52" s="8"/>
      <c r="D52" s="8"/>
      <c r="E52" s="8"/>
      <c r="F52" s="8"/>
      <c r="G52" s="8"/>
      <c r="H52" s="8"/>
      <c r="I52" s="8"/>
      <c r="J52" s="8"/>
      <c r="K52" s="8"/>
    </row>
    <row r="53" spans="1:11" ht="20.65" customHeight="1">
      <c r="A53" s="171" t="s">
        <v>179</v>
      </c>
      <c r="B53" s="171" t="s">
        <v>205</v>
      </c>
      <c r="C53" s="171" t="s">
        <v>204</v>
      </c>
      <c r="D53" s="171" t="s">
        <v>203</v>
      </c>
      <c r="E53" s="171" t="s">
        <v>263</v>
      </c>
      <c r="F53" s="171" t="s">
        <v>264</v>
      </c>
      <c r="G53" s="8"/>
      <c r="H53" s="8"/>
      <c r="I53" s="8"/>
      <c r="J53" s="8"/>
      <c r="K53" s="8"/>
    </row>
    <row r="54" spans="1:11">
      <c r="A54" s="141" t="s">
        <v>254</v>
      </c>
      <c r="B54" s="142">
        <v>17859</v>
      </c>
      <c r="C54" s="142">
        <v>20407</v>
      </c>
      <c r="D54" s="142">
        <v>24216</v>
      </c>
      <c r="E54" s="143">
        <f t="shared" ref="E54:F57" si="0">(C54/B54)-1</f>
        <v>0.14267316199115299</v>
      </c>
      <c r="F54" s="143">
        <f t="shared" si="0"/>
        <v>0.18665163914343119</v>
      </c>
      <c r="G54" s="8"/>
      <c r="H54" s="8"/>
      <c r="I54" s="8"/>
      <c r="J54" s="8"/>
      <c r="K54" s="8"/>
    </row>
    <row r="55" spans="1:11">
      <c r="A55" s="141" t="s">
        <v>19</v>
      </c>
      <c r="B55" s="142">
        <v>6275</v>
      </c>
      <c r="C55" s="142">
        <v>7574</v>
      </c>
      <c r="D55" s="142">
        <v>7045</v>
      </c>
      <c r="E55" s="143">
        <f t="shared" si="0"/>
        <v>0.20701195219123503</v>
      </c>
      <c r="F55" s="143">
        <f t="shared" si="0"/>
        <v>-6.984420385529444E-2</v>
      </c>
      <c r="G55" s="8"/>
      <c r="H55" s="8"/>
      <c r="I55" s="8"/>
      <c r="J55" s="8"/>
      <c r="K55" s="8"/>
    </row>
    <row r="56" spans="1:11">
      <c r="A56" s="141" t="s">
        <v>275</v>
      </c>
      <c r="B56" s="142">
        <v>5502</v>
      </c>
      <c r="C56" s="142">
        <v>6369</v>
      </c>
      <c r="D56" s="142">
        <v>5553</v>
      </c>
      <c r="E56" s="143">
        <f t="shared" si="0"/>
        <v>0.1575790621592148</v>
      </c>
      <c r="F56" s="143">
        <f t="shared" si="0"/>
        <v>-0.12812058407913329</v>
      </c>
      <c r="G56" s="8"/>
      <c r="H56" s="8"/>
      <c r="I56" s="8"/>
      <c r="J56" s="8"/>
      <c r="K56" s="8"/>
    </row>
    <row r="57" spans="1:11">
      <c r="A57" s="141" t="s">
        <v>23</v>
      </c>
      <c r="B57" s="144">
        <v>36.51</v>
      </c>
      <c r="C57" s="144">
        <v>42.01</v>
      </c>
      <c r="D57" s="144">
        <v>35.31</v>
      </c>
      <c r="E57" s="143">
        <f t="shared" si="0"/>
        <v>0.15064365927143242</v>
      </c>
      <c r="F57" s="143">
        <f t="shared" si="0"/>
        <v>-0.15948583670554617</v>
      </c>
      <c r="G57" s="8"/>
      <c r="H57" s="8"/>
      <c r="I57" s="8"/>
      <c r="J57" s="8"/>
      <c r="K57" s="8"/>
    </row>
    <row r="58" spans="1:11">
      <c r="A58" s="141" t="s">
        <v>208</v>
      </c>
      <c r="B58" s="143">
        <f>B55/B54</f>
        <v>0.35136345820034715</v>
      </c>
      <c r="C58" s="143">
        <f>C55/C54</f>
        <v>0.37114715538785709</v>
      </c>
      <c r="D58" s="143">
        <f>D55/D54</f>
        <v>0.29092335645853978</v>
      </c>
      <c r="E58" s="145">
        <f>(C58-B58)*10000</f>
        <v>197.83697187509941</v>
      </c>
      <c r="F58" s="145">
        <f>(D58-C58)*10000</f>
        <v>-802.23798929317297</v>
      </c>
      <c r="G58" s="8"/>
      <c r="H58" s="8"/>
      <c r="I58" s="8"/>
      <c r="J58" s="8"/>
      <c r="K58" s="8"/>
    </row>
    <row r="59" spans="1:11">
      <c r="A59" s="141" t="s">
        <v>265</v>
      </c>
      <c r="B59" s="143">
        <f>B56/B54</f>
        <v>0.30807995968419283</v>
      </c>
      <c r="C59" s="143">
        <f>C56/C54</f>
        <v>0.31209878963100895</v>
      </c>
      <c r="D59" s="143">
        <f>D56/D54</f>
        <v>0.22931119920713577</v>
      </c>
      <c r="E59" s="145">
        <f>(C59-B59)*10000</f>
        <v>40.188299468161269</v>
      </c>
      <c r="F59" s="145">
        <f>(D59-C59)*10000</f>
        <v>-827.87590423873178</v>
      </c>
      <c r="G59" s="8"/>
      <c r="H59" s="8"/>
      <c r="I59" s="8"/>
      <c r="J59" s="8"/>
      <c r="K59" s="8"/>
    </row>
    <row r="60" spans="1:11">
      <c r="A60" s="8"/>
      <c r="B60" s="8"/>
      <c r="C60" s="8"/>
      <c r="D60" s="8"/>
      <c r="E60" s="8"/>
      <c r="F60" s="8"/>
      <c r="G60" s="8"/>
      <c r="H60" s="8"/>
      <c r="I60" s="8"/>
      <c r="J60" s="8"/>
      <c r="K60" s="8"/>
    </row>
    <row r="61" spans="1:11">
      <c r="A61" s="8"/>
      <c r="B61" s="8"/>
      <c r="C61" s="8"/>
      <c r="D61" s="8"/>
      <c r="E61" s="8"/>
      <c r="F61" s="8"/>
      <c r="G61" s="8"/>
      <c r="H61" s="8"/>
      <c r="I61" s="8"/>
      <c r="J61" s="8"/>
      <c r="K61" s="8"/>
    </row>
    <row r="62" spans="1:11" ht="19.5" customHeight="1">
      <c r="A62" s="184" t="s">
        <v>269</v>
      </c>
      <c r="B62" s="8"/>
      <c r="C62" s="8"/>
      <c r="D62" s="8"/>
      <c r="E62" s="8"/>
      <c r="F62" s="8"/>
      <c r="G62" s="8"/>
      <c r="H62" s="146"/>
      <c r="I62" s="8"/>
      <c r="J62" s="8"/>
      <c r="K62" s="8"/>
    </row>
    <row r="63" spans="1:11">
      <c r="A63" s="147" t="s">
        <v>266</v>
      </c>
      <c r="B63" s="8"/>
      <c r="C63" s="8"/>
      <c r="D63" s="8"/>
      <c r="E63" s="8"/>
      <c r="F63" s="8"/>
      <c r="G63" s="8"/>
      <c r="H63" s="8"/>
      <c r="I63" s="8"/>
      <c r="J63" s="8"/>
      <c r="K63" s="8"/>
    </row>
    <row r="64" spans="1:11">
      <c r="A64" s="8" t="s">
        <v>311</v>
      </c>
      <c r="B64" s="8"/>
      <c r="C64" s="8"/>
      <c r="D64" s="8"/>
      <c r="E64" s="8"/>
      <c r="F64" s="8"/>
      <c r="G64" s="8"/>
      <c r="H64" s="8"/>
      <c r="I64" s="8"/>
      <c r="J64" s="8"/>
      <c r="K64" s="8"/>
    </row>
    <row r="65" spans="1:11">
      <c r="A65" s="8"/>
      <c r="B65" s="8"/>
      <c r="C65" s="8"/>
      <c r="D65" s="8"/>
      <c r="E65" s="8"/>
      <c r="F65" s="8"/>
      <c r="G65" s="8"/>
      <c r="H65" s="8"/>
      <c r="I65" s="8"/>
      <c r="J65" s="8"/>
      <c r="K65" s="8"/>
    </row>
    <row r="66" spans="1:11">
      <c r="A66" s="147" t="s">
        <v>267</v>
      </c>
      <c r="B66" s="8"/>
      <c r="C66" s="8"/>
      <c r="D66" s="8"/>
      <c r="E66" s="8"/>
      <c r="F66" s="8"/>
      <c r="G66" s="8"/>
      <c r="H66" s="8"/>
      <c r="I66" s="8"/>
      <c r="J66" s="8"/>
      <c r="K66" s="8"/>
    </row>
    <row r="67" spans="1:11">
      <c r="A67" s="8" t="s">
        <v>312</v>
      </c>
      <c r="B67" s="8"/>
      <c r="C67" s="8"/>
      <c r="D67" s="8"/>
      <c r="E67" s="8"/>
      <c r="F67" s="8"/>
      <c r="G67" s="8"/>
      <c r="H67" s="8"/>
      <c r="I67" s="8"/>
      <c r="J67" s="8"/>
      <c r="K67" s="8"/>
    </row>
    <row r="68" spans="1:11">
      <c r="A68" s="8"/>
      <c r="B68" s="8"/>
      <c r="C68" s="8"/>
      <c r="D68" s="8"/>
      <c r="E68" s="8"/>
      <c r="F68" s="8"/>
      <c r="G68" s="8"/>
      <c r="H68" s="8"/>
      <c r="I68" s="8"/>
      <c r="J68" s="8"/>
      <c r="K68" s="8"/>
    </row>
    <row r="69" spans="1:11">
      <c r="A69" s="147" t="s">
        <v>268</v>
      </c>
      <c r="B69" s="8"/>
      <c r="C69" s="8"/>
      <c r="D69" s="8"/>
      <c r="E69" s="8"/>
      <c r="F69" s="8"/>
      <c r="G69" s="8"/>
      <c r="H69" s="8"/>
      <c r="I69" s="8"/>
      <c r="J69" s="8"/>
      <c r="K69" s="8"/>
    </row>
    <row r="70" spans="1:11">
      <c r="A70" s="8" t="s">
        <v>313</v>
      </c>
      <c r="B70" s="8"/>
      <c r="C70" s="8"/>
      <c r="D70" s="8"/>
      <c r="E70" s="8"/>
      <c r="F70" s="8"/>
      <c r="G70" s="8"/>
      <c r="H70" s="8"/>
      <c r="I70" s="8"/>
      <c r="J70" s="8"/>
      <c r="K70" s="8"/>
    </row>
    <row r="71" spans="1:11">
      <c r="A71" s="8"/>
      <c r="B71" s="8"/>
      <c r="C71" s="8"/>
      <c r="D71" s="8"/>
      <c r="E71" s="8"/>
      <c r="F71" s="8"/>
      <c r="G71" s="8"/>
      <c r="H71" s="8"/>
      <c r="I71" s="8"/>
      <c r="J71" s="8"/>
      <c r="K71" s="8"/>
    </row>
    <row r="72" spans="1:11">
      <c r="A72" s="147" t="s">
        <v>276</v>
      </c>
      <c r="B72" s="8"/>
      <c r="C72" s="8"/>
      <c r="D72" s="8"/>
      <c r="E72" s="8"/>
      <c r="F72" s="8"/>
      <c r="G72" s="8"/>
      <c r="H72" s="8"/>
      <c r="I72" s="8"/>
      <c r="J72" s="8"/>
      <c r="K72" s="8"/>
    </row>
    <row r="73" spans="1:11">
      <c r="A73" s="8" t="s">
        <v>314</v>
      </c>
      <c r="B73" s="8"/>
      <c r="C73" s="8"/>
      <c r="D73" s="8"/>
      <c r="E73" s="8"/>
      <c r="F73" s="8"/>
      <c r="G73" s="8"/>
      <c r="H73" s="8"/>
      <c r="I73" s="8"/>
      <c r="J73" s="8"/>
      <c r="K73" s="8"/>
    </row>
    <row r="74" spans="1:11">
      <c r="A74" s="8"/>
      <c r="B74" s="8"/>
      <c r="C74" s="8"/>
      <c r="D74" s="8"/>
      <c r="E74" s="8"/>
      <c r="F74" s="8"/>
      <c r="G74" s="8"/>
      <c r="H74" s="8"/>
      <c r="I74" s="8"/>
      <c r="J74" s="8"/>
      <c r="K74" s="8"/>
    </row>
    <row r="75" spans="1:11" ht="17.649999999999999" customHeight="1">
      <c r="A75" s="140" t="s">
        <v>270</v>
      </c>
      <c r="B75" s="8"/>
      <c r="C75" s="8"/>
      <c r="D75" s="8"/>
      <c r="E75" s="8"/>
      <c r="F75" s="8"/>
      <c r="G75" s="8"/>
      <c r="H75" s="8"/>
      <c r="I75" s="8"/>
      <c r="J75" s="8"/>
      <c r="K75" s="8"/>
    </row>
    <row r="76" spans="1:11" ht="15.4">
      <c r="A76" s="185" t="s">
        <v>253</v>
      </c>
      <c r="B76" s="185" t="s">
        <v>274</v>
      </c>
      <c r="C76" s="185" t="s">
        <v>271</v>
      </c>
      <c r="D76" s="8"/>
      <c r="E76" s="8"/>
      <c r="F76" s="8"/>
      <c r="G76" s="8"/>
      <c r="H76" s="8"/>
      <c r="I76" s="8"/>
      <c r="J76" s="8"/>
      <c r="K76" s="8"/>
    </row>
    <row r="77" spans="1:11">
      <c r="A77" s="148">
        <v>2023</v>
      </c>
      <c r="B77" s="149">
        <v>10.009</v>
      </c>
      <c r="C77" s="149" t="s">
        <v>272</v>
      </c>
      <c r="D77" s="8"/>
      <c r="E77" s="8"/>
      <c r="F77" s="8"/>
      <c r="G77" s="8"/>
      <c r="H77" s="8"/>
      <c r="I77" s="8"/>
      <c r="J77" s="8"/>
      <c r="K77" s="8"/>
    </row>
    <row r="78" spans="1:11">
      <c r="A78" s="148">
        <v>2024</v>
      </c>
      <c r="B78" s="149">
        <v>11.551</v>
      </c>
      <c r="C78" s="150">
        <f>(B78/B77)-1</f>
        <v>0.15406134478968925</v>
      </c>
      <c r="D78" s="8"/>
      <c r="E78" s="8"/>
      <c r="F78" s="8"/>
      <c r="G78" s="8"/>
      <c r="H78" s="8"/>
      <c r="I78" s="8"/>
      <c r="J78" s="8"/>
      <c r="K78" s="8"/>
    </row>
    <row r="79" spans="1:11">
      <c r="A79" s="148">
        <v>2025</v>
      </c>
      <c r="B79" s="149">
        <v>14.042</v>
      </c>
      <c r="C79" s="150">
        <f>(B79/B78)-1</f>
        <v>0.21565232447407157</v>
      </c>
      <c r="D79" s="8"/>
      <c r="E79" s="8"/>
      <c r="F79" s="8"/>
      <c r="G79" s="8"/>
      <c r="H79" s="8"/>
      <c r="I79" s="8"/>
      <c r="J79" s="8"/>
      <c r="K79" s="8"/>
    </row>
    <row r="80" spans="1:11">
      <c r="A80" s="8"/>
      <c r="B80" s="8"/>
      <c r="C80" s="8"/>
      <c r="D80" s="8"/>
      <c r="E80" s="8"/>
      <c r="F80" s="8"/>
      <c r="G80" s="8"/>
      <c r="H80" s="8"/>
      <c r="I80" s="8"/>
      <c r="J80" s="8"/>
      <c r="K80" s="8"/>
    </row>
    <row r="81" spans="1:13" ht="19.149999999999999" customHeight="1">
      <c r="A81" s="1" t="s">
        <v>273</v>
      </c>
      <c r="B81" s="182"/>
      <c r="C81" s="182"/>
      <c r="D81" s="182"/>
      <c r="E81" s="182"/>
      <c r="F81" s="182"/>
      <c r="G81" s="182"/>
      <c r="H81" s="182"/>
      <c r="I81" s="182"/>
      <c r="J81" s="182"/>
      <c r="K81" s="182"/>
      <c r="L81" s="15"/>
      <c r="M81" s="15"/>
    </row>
    <row r="82" spans="1:13">
      <c r="A82" s="8"/>
      <c r="B82" s="8"/>
      <c r="C82" s="8"/>
      <c r="D82" s="8"/>
      <c r="E82" s="8"/>
      <c r="F82" s="8"/>
      <c r="G82" s="8"/>
      <c r="H82" s="8"/>
      <c r="I82" s="8"/>
      <c r="J82" s="8"/>
      <c r="K82" s="8"/>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52246-713E-4223-9EAA-EB837A8A74F6}">
  <dimension ref="A2:E43"/>
  <sheetViews>
    <sheetView topLeftCell="A18" zoomScale="71" workbookViewId="0">
      <selection activeCell="B47" sqref="B47"/>
    </sheetView>
  </sheetViews>
  <sheetFormatPr defaultRowHeight="14.25"/>
  <cols>
    <col min="1" max="1" width="38.796875" customWidth="1"/>
    <col min="2" max="2" width="26.6640625" customWidth="1"/>
    <col min="3" max="3" width="28.59765625" customWidth="1"/>
    <col min="4" max="4" width="29.59765625" customWidth="1"/>
    <col min="5" max="5" width="18.19921875" customWidth="1"/>
  </cols>
  <sheetData>
    <row r="2" spans="1:5" ht="20.25">
      <c r="C2" s="52" t="s">
        <v>343</v>
      </c>
    </row>
    <row r="4" spans="1:5" ht="17.25">
      <c r="A4" s="160" t="s">
        <v>278</v>
      </c>
    </row>
    <row r="5" spans="1:5" ht="21" customHeight="1">
      <c r="A5" s="118" t="s">
        <v>279</v>
      </c>
      <c r="B5" s="118" t="s">
        <v>286</v>
      </c>
      <c r="C5" s="118" t="s">
        <v>287</v>
      </c>
      <c r="D5" s="118" t="s">
        <v>288</v>
      </c>
      <c r="E5" s="118" t="s">
        <v>280</v>
      </c>
    </row>
    <row r="6" spans="1:5">
      <c r="A6" s="141" t="s">
        <v>281</v>
      </c>
      <c r="B6" s="151">
        <v>1173.73</v>
      </c>
      <c r="C6" s="151">
        <v>35.31</v>
      </c>
      <c r="D6" s="151">
        <v>48.09</v>
      </c>
      <c r="E6" s="152">
        <f>B6/D6</f>
        <v>24.40694531087544</v>
      </c>
    </row>
    <row r="7" spans="1:5">
      <c r="A7" s="141" t="s">
        <v>282</v>
      </c>
      <c r="B7" s="151">
        <v>110.56</v>
      </c>
      <c r="C7" s="151">
        <v>9.24</v>
      </c>
      <c r="D7" s="151">
        <v>9.7200000000000006</v>
      </c>
      <c r="E7" s="152">
        <f t="shared" ref="E7:E9" si="0">B7/D7</f>
        <v>11.374485596707819</v>
      </c>
    </row>
    <row r="8" spans="1:5">
      <c r="A8" s="141" t="s">
        <v>283</v>
      </c>
      <c r="B8" s="151">
        <v>33.86</v>
      </c>
      <c r="C8" s="151">
        <v>0.91</v>
      </c>
      <c r="D8" s="151">
        <v>2.2200000000000002</v>
      </c>
      <c r="E8" s="152">
        <f t="shared" si="0"/>
        <v>15.252252252252251</v>
      </c>
    </row>
    <row r="9" spans="1:5">
      <c r="A9" s="141" t="s">
        <v>284</v>
      </c>
      <c r="B9" s="151">
        <v>32.549999999999997</v>
      </c>
      <c r="C9" s="153">
        <v>-1.6</v>
      </c>
      <c r="D9" s="151">
        <v>2.0299999999999998</v>
      </c>
      <c r="E9" s="152">
        <f t="shared" si="0"/>
        <v>16.03448275862069</v>
      </c>
    </row>
    <row r="10" spans="1:5">
      <c r="A10" s="154" t="s">
        <v>285</v>
      </c>
      <c r="B10" s="141"/>
      <c r="C10" s="144"/>
      <c r="D10" s="144"/>
      <c r="E10" s="155">
        <f>MEDIAN(E7:E9)</f>
        <v>15.252252252252251</v>
      </c>
    </row>
    <row r="11" spans="1:5">
      <c r="A11" s="8"/>
      <c r="B11" s="8"/>
      <c r="C11" s="8"/>
      <c r="D11" s="8"/>
      <c r="E11" s="8"/>
    </row>
    <row r="12" spans="1:5">
      <c r="A12" s="8"/>
      <c r="B12" s="8"/>
      <c r="C12" s="8"/>
      <c r="D12" s="8"/>
      <c r="E12" s="8"/>
    </row>
    <row r="13" spans="1:5" ht="23.65" customHeight="1">
      <c r="A13" s="156" t="s">
        <v>289</v>
      </c>
      <c r="B13" s="157"/>
      <c r="C13" s="8"/>
      <c r="D13" s="8"/>
      <c r="E13" s="8"/>
    </row>
    <row r="14" spans="1:5">
      <c r="A14" s="141" t="s">
        <v>288</v>
      </c>
      <c r="B14" s="151">
        <v>48.09</v>
      </c>
      <c r="C14" s="8"/>
      <c r="D14" s="8"/>
      <c r="E14" s="8"/>
    </row>
    <row r="15" spans="1:5">
      <c r="A15" s="141" t="s">
        <v>290</v>
      </c>
      <c r="B15" s="144" t="s">
        <v>291</v>
      </c>
      <c r="C15" s="8"/>
      <c r="D15" s="8"/>
      <c r="E15" s="8"/>
    </row>
    <row r="16" spans="1:5">
      <c r="A16" s="154" t="s">
        <v>292</v>
      </c>
      <c r="B16" s="158">
        <f>D6*E10</f>
        <v>733.48081081081079</v>
      </c>
      <c r="C16" s="8"/>
      <c r="D16" s="8"/>
      <c r="E16" s="8"/>
    </row>
    <row r="17" spans="1:5">
      <c r="A17" s="141" t="s">
        <v>293</v>
      </c>
      <c r="B17" s="151">
        <v>1173.73</v>
      </c>
      <c r="C17" s="8"/>
      <c r="D17" s="8"/>
      <c r="E17" s="8"/>
    </row>
    <row r="18" spans="1:5">
      <c r="A18" s="154" t="s">
        <v>294</v>
      </c>
      <c r="B18" s="159">
        <f>(B16/B6)-1</f>
        <v>-0.37508557265230436</v>
      </c>
      <c r="C18" s="8"/>
      <c r="D18" s="8"/>
      <c r="E18" s="8"/>
    </row>
    <row r="19" spans="1:5">
      <c r="A19" s="8"/>
      <c r="B19" s="8"/>
      <c r="C19" s="8"/>
      <c r="D19" s="8"/>
      <c r="E19" s="8"/>
    </row>
    <row r="20" spans="1:5">
      <c r="A20" s="8"/>
      <c r="B20" s="8"/>
      <c r="C20" s="8"/>
      <c r="D20" s="8"/>
      <c r="E20" s="8"/>
    </row>
    <row r="21" spans="1:5" ht="17.25">
      <c r="A21" s="160" t="s">
        <v>295</v>
      </c>
      <c r="B21" s="8"/>
      <c r="C21" s="8"/>
      <c r="D21" s="8"/>
      <c r="E21" s="8"/>
    </row>
    <row r="22" spans="1:5" ht="22.15" customHeight="1">
      <c r="A22" s="118" t="s">
        <v>296</v>
      </c>
      <c r="B22" s="118" t="s">
        <v>292</v>
      </c>
      <c r="C22" s="118" t="s">
        <v>297</v>
      </c>
      <c r="D22" s="8"/>
      <c r="E22" s="8"/>
    </row>
    <row r="23" spans="1:5">
      <c r="A23" s="144">
        <v>15</v>
      </c>
      <c r="B23" s="151">
        <f>A23*$D$6</f>
        <v>721.35</v>
      </c>
      <c r="C23" s="143">
        <f>(B23/$B$6)-1</f>
        <v>-0.38542083784175241</v>
      </c>
      <c r="D23" s="8"/>
      <c r="E23" s="8"/>
    </row>
    <row r="24" spans="1:5">
      <c r="A24" s="144">
        <v>17.5</v>
      </c>
      <c r="B24" s="151">
        <f t="shared" ref="B24:B27" si="1">A24*$D$6</f>
        <v>841.57500000000005</v>
      </c>
      <c r="C24" s="143">
        <f t="shared" ref="C24:C27" si="2">(B24/$B$6)-1</f>
        <v>-0.28299097748204438</v>
      </c>
      <c r="D24" s="8"/>
      <c r="E24" s="8"/>
    </row>
    <row r="25" spans="1:5">
      <c r="A25" s="144">
        <v>20</v>
      </c>
      <c r="B25" s="151">
        <f t="shared" si="1"/>
        <v>961.80000000000007</v>
      </c>
      <c r="C25" s="143">
        <f t="shared" si="2"/>
        <v>-0.18056111712233647</v>
      </c>
      <c r="D25" s="8"/>
      <c r="E25" s="8"/>
    </row>
    <row r="26" spans="1:5">
      <c r="A26" s="144">
        <v>22.5</v>
      </c>
      <c r="B26" s="151">
        <f t="shared" si="1"/>
        <v>1082.0250000000001</v>
      </c>
      <c r="C26" s="143">
        <f t="shared" si="2"/>
        <v>-7.8131256762628443E-2</v>
      </c>
      <c r="D26" s="8"/>
      <c r="E26" s="8"/>
    </row>
    <row r="27" spans="1:5">
      <c r="A27" s="144">
        <v>25</v>
      </c>
      <c r="B27" s="151">
        <f t="shared" si="1"/>
        <v>1202.25</v>
      </c>
      <c r="C27" s="143">
        <f t="shared" si="2"/>
        <v>2.429860359707936E-2</v>
      </c>
      <c r="D27" s="8"/>
      <c r="E27" s="8"/>
    </row>
    <row r="28" spans="1:5">
      <c r="A28" s="8"/>
      <c r="B28" s="8"/>
      <c r="C28" s="8"/>
      <c r="D28" s="8"/>
      <c r="E28" s="8"/>
    </row>
    <row r="29" spans="1:5">
      <c r="A29" s="8"/>
      <c r="B29" s="8"/>
      <c r="C29" s="8"/>
      <c r="D29" s="8"/>
      <c r="E29" s="8"/>
    </row>
    <row r="30" spans="1:5" ht="20.65" customHeight="1">
      <c r="A30" s="160" t="s">
        <v>298</v>
      </c>
      <c r="B30" s="8"/>
      <c r="C30" s="8"/>
      <c r="D30" s="8"/>
      <c r="E30" s="8"/>
    </row>
    <row r="31" spans="1:5" ht="19.149999999999999" customHeight="1">
      <c r="A31" s="118" t="s">
        <v>279</v>
      </c>
      <c r="B31" s="118" t="s">
        <v>301</v>
      </c>
      <c r="C31" s="118" t="s">
        <v>299</v>
      </c>
      <c r="D31" s="118" t="s">
        <v>300</v>
      </c>
      <c r="E31" s="8"/>
    </row>
    <row r="32" spans="1:5">
      <c r="A32" s="141" t="s">
        <v>281</v>
      </c>
      <c r="B32" s="151">
        <v>1173.73</v>
      </c>
      <c r="C32" s="153">
        <v>360.41</v>
      </c>
      <c r="D32" s="152">
        <f>B32/C32</f>
        <v>3.2566521461668652</v>
      </c>
      <c r="E32" s="8"/>
    </row>
    <row r="33" spans="1:5">
      <c r="A33" s="141" t="s">
        <v>282</v>
      </c>
      <c r="B33" s="151">
        <v>110.56</v>
      </c>
      <c r="C33" s="153">
        <v>49.68</v>
      </c>
      <c r="D33" s="152">
        <f>B33/C33</f>
        <v>2.2254428341384864</v>
      </c>
      <c r="E33" s="8"/>
    </row>
    <row r="34" spans="1:5">
      <c r="A34" s="141" t="s">
        <v>283</v>
      </c>
      <c r="B34" s="151">
        <v>33.86</v>
      </c>
      <c r="C34" s="153">
        <v>23.18</v>
      </c>
      <c r="D34" s="152">
        <f>B34/C34</f>
        <v>1.4607420189818809</v>
      </c>
      <c r="E34" s="8"/>
    </row>
    <row r="35" spans="1:5">
      <c r="A35" s="141" t="s">
        <v>284</v>
      </c>
      <c r="B35" s="151">
        <v>32.549999999999997</v>
      </c>
      <c r="C35" s="153">
        <v>9.7210000000000001</v>
      </c>
      <c r="D35" s="152">
        <f>B35/C35</f>
        <v>3.3484209443472892</v>
      </c>
      <c r="E35" s="8"/>
    </row>
    <row r="36" spans="1:5">
      <c r="A36" s="154" t="s">
        <v>285</v>
      </c>
      <c r="B36" s="144"/>
      <c r="C36" s="144"/>
      <c r="D36" s="155">
        <f>MEDIAN(D33:D35)</f>
        <v>2.2254428341384864</v>
      </c>
      <c r="E36" s="8"/>
    </row>
    <row r="37" spans="1:5">
      <c r="A37" s="8"/>
      <c r="B37" s="8"/>
      <c r="C37" s="8"/>
      <c r="D37" s="8"/>
      <c r="E37" s="8"/>
    </row>
    <row r="38" spans="1:5">
      <c r="A38" s="8"/>
      <c r="B38" s="8"/>
      <c r="C38" s="8"/>
      <c r="D38" s="8"/>
      <c r="E38" s="8"/>
    </row>
    <row r="39" spans="1:5" ht="19.899999999999999" customHeight="1">
      <c r="A39" s="160" t="s">
        <v>302</v>
      </c>
      <c r="B39" s="8"/>
      <c r="C39" s="8"/>
      <c r="D39" s="8"/>
      <c r="E39" s="8"/>
    </row>
    <row r="40" spans="1:5">
      <c r="A40" s="118" t="s">
        <v>179</v>
      </c>
      <c r="B40" s="118" t="s">
        <v>281</v>
      </c>
      <c r="C40" s="118" t="s">
        <v>285</v>
      </c>
      <c r="D40" s="118" t="s">
        <v>303</v>
      </c>
      <c r="E40" s="8"/>
    </row>
    <row r="41" spans="1:5">
      <c r="A41" s="141" t="s">
        <v>304</v>
      </c>
      <c r="B41" s="161">
        <v>24.41</v>
      </c>
      <c r="C41" s="161">
        <v>15.25</v>
      </c>
      <c r="D41" s="143">
        <f>(B41/C41)-1</f>
        <v>0.60065573770491798</v>
      </c>
      <c r="E41" s="8"/>
    </row>
    <row r="42" spans="1:5">
      <c r="A42" s="141" t="s">
        <v>300</v>
      </c>
      <c r="B42" s="152">
        <v>3.26</v>
      </c>
      <c r="C42" s="152">
        <v>2.23</v>
      </c>
      <c r="D42" s="143">
        <f>(B42/C42)-1</f>
        <v>0.46188340807174888</v>
      </c>
      <c r="E42" s="8"/>
    </row>
    <row r="43" spans="1:5">
      <c r="A43" s="8"/>
      <c r="B43" s="8"/>
      <c r="C43" s="8"/>
      <c r="D43" s="8"/>
      <c r="E43" s="8"/>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D5353-51FF-42A6-96BA-CADF8435A344}">
  <dimension ref="A2:L24"/>
  <sheetViews>
    <sheetView zoomScale="60" workbookViewId="0">
      <selection activeCell="J19" sqref="J19"/>
    </sheetView>
  </sheetViews>
  <sheetFormatPr defaultRowHeight="14.25"/>
  <cols>
    <col min="1" max="1" width="96.3984375" customWidth="1"/>
  </cols>
  <sheetData>
    <row r="2" spans="1:12" ht="20.25">
      <c r="A2" s="9"/>
      <c r="B2" s="9"/>
      <c r="C2" s="9"/>
      <c r="D2" s="177" t="s">
        <v>305</v>
      </c>
      <c r="E2" s="178"/>
      <c r="F2" s="178"/>
      <c r="G2" s="178"/>
      <c r="H2" s="8"/>
      <c r="J2" s="135"/>
      <c r="K2" s="135"/>
      <c r="L2" s="135"/>
    </row>
    <row r="3" spans="1:12" ht="20.25">
      <c r="A3" s="9"/>
      <c r="B3" s="9"/>
      <c r="C3" s="9"/>
      <c r="D3" s="179" t="s">
        <v>306</v>
      </c>
      <c r="E3" s="180"/>
      <c r="F3" s="180"/>
      <c r="G3" s="180"/>
      <c r="H3" s="8"/>
      <c r="I3" s="181"/>
      <c r="J3" s="136"/>
      <c r="K3" s="136"/>
      <c r="L3" s="135"/>
    </row>
    <row r="5" spans="1:12" ht="16.899999999999999" customHeight="1">
      <c r="A5" s="163" t="s">
        <v>307</v>
      </c>
    </row>
    <row r="6" spans="1:12">
      <c r="A6" s="8"/>
    </row>
    <row r="7" spans="1:12" ht="51.4" customHeight="1">
      <c r="A7" s="162" t="s">
        <v>315</v>
      </c>
    </row>
    <row r="8" spans="1:12">
      <c r="A8" s="8"/>
    </row>
    <row r="9" spans="1:12" ht="16.5" customHeight="1">
      <c r="A9" s="163" t="s">
        <v>308</v>
      </c>
    </row>
    <row r="10" spans="1:12">
      <c r="A10" s="8"/>
    </row>
    <row r="11" spans="1:12" ht="64.900000000000006" customHeight="1">
      <c r="A11" s="162" t="s">
        <v>316</v>
      </c>
    </row>
    <row r="12" spans="1:12">
      <c r="A12" s="8"/>
    </row>
    <row r="13" spans="1:12" ht="18" customHeight="1">
      <c r="A13" s="163" t="s">
        <v>309</v>
      </c>
    </row>
    <row r="14" spans="1:12">
      <c r="A14" s="8"/>
    </row>
    <row r="15" spans="1:12" ht="62.65" customHeight="1">
      <c r="A15" s="162" t="s">
        <v>317</v>
      </c>
    </row>
    <row r="16" spans="1:12">
      <c r="A16" s="8"/>
    </row>
    <row r="17" spans="1:1" ht="18.75" customHeight="1">
      <c r="A17" s="163" t="s">
        <v>310</v>
      </c>
    </row>
    <row r="18" spans="1:1">
      <c r="A18" s="8"/>
    </row>
    <row r="19" spans="1:1" ht="66.75" customHeight="1">
      <c r="A19" s="162" t="s">
        <v>318</v>
      </c>
    </row>
    <row r="21" spans="1:1" ht="25.9" customHeight="1">
      <c r="A21" s="164" t="s">
        <v>319</v>
      </c>
    </row>
    <row r="22" spans="1:1" ht="12" customHeight="1"/>
    <row r="23" spans="1:1" ht="116.25" customHeight="1">
      <c r="A23" s="162" t="s">
        <v>320</v>
      </c>
    </row>
    <row r="24" spans="1:1">
      <c r="A24" t="s">
        <v>277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D8274-399C-40F6-902F-65B8818AD746}">
  <dimension ref="A2:F11"/>
  <sheetViews>
    <sheetView workbookViewId="0">
      <selection activeCell="A2" sqref="A2"/>
    </sheetView>
  </sheetViews>
  <sheetFormatPr defaultRowHeight="14.25"/>
  <cols>
    <col min="1" max="1" width="26.6640625" customWidth="1"/>
    <col min="2" max="2" width="52.46484375" customWidth="1"/>
    <col min="3" max="3" width="19" customWidth="1"/>
    <col min="4" max="4" width="8" customWidth="1"/>
  </cols>
  <sheetData>
    <row r="2" spans="1:6" ht="15">
      <c r="B2" s="173" t="s">
        <v>341</v>
      </c>
      <c r="C2" s="174"/>
    </row>
    <row r="3" spans="1:6" ht="15">
      <c r="B3" s="175" t="s">
        <v>342</v>
      </c>
      <c r="C3" s="174"/>
    </row>
    <row r="6" spans="1:6" s="2" customFormat="1" ht="15" customHeight="1">
      <c r="A6" s="171" t="s">
        <v>324</v>
      </c>
      <c r="B6" s="171" t="s">
        <v>325</v>
      </c>
      <c r="C6" s="171" t="s">
        <v>326</v>
      </c>
      <c r="D6" s="171" t="s">
        <v>327</v>
      </c>
      <c r="E6" s="170"/>
      <c r="F6" s="170"/>
    </row>
    <row r="7" spans="1:6" s="2" customFormat="1" ht="30.75" customHeight="1">
      <c r="A7" s="141" t="s">
        <v>331</v>
      </c>
      <c r="B7" s="141" t="s">
        <v>332</v>
      </c>
      <c r="C7" s="141" t="s">
        <v>328</v>
      </c>
      <c r="D7" s="172" t="s">
        <v>329</v>
      </c>
      <c r="E7" s="170"/>
      <c r="F7" s="170"/>
    </row>
    <row r="8" spans="1:6" s="2" customFormat="1" ht="35.65" customHeight="1">
      <c r="A8" s="141" t="s">
        <v>2</v>
      </c>
      <c r="B8" s="141" t="s">
        <v>333</v>
      </c>
      <c r="C8" s="141" t="s">
        <v>328</v>
      </c>
      <c r="D8" s="172" t="s">
        <v>329</v>
      </c>
      <c r="E8" s="170"/>
      <c r="F8" s="170"/>
    </row>
    <row r="9" spans="1:6" s="2" customFormat="1" ht="28.15" customHeight="1">
      <c r="A9" s="141" t="s">
        <v>334</v>
      </c>
      <c r="B9" s="141" t="s">
        <v>335</v>
      </c>
      <c r="C9" s="141" t="s">
        <v>328</v>
      </c>
      <c r="D9" s="172" t="s">
        <v>329</v>
      </c>
      <c r="E9" s="170"/>
      <c r="F9" s="170"/>
    </row>
    <row r="10" spans="1:6" s="2" customFormat="1" ht="20.25" customHeight="1">
      <c r="A10" s="141" t="s">
        <v>336</v>
      </c>
      <c r="B10" s="141" t="s">
        <v>337</v>
      </c>
      <c r="C10" s="141" t="s">
        <v>338</v>
      </c>
      <c r="D10" s="172" t="s">
        <v>329</v>
      </c>
      <c r="E10" s="170"/>
      <c r="F10" s="170"/>
    </row>
    <row r="11" spans="1:6" ht="24" customHeight="1">
      <c r="A11" s="141" t="s">
        <v>339</v>
      </c>
      <c r="B11" s="141" t="s">
        <v>330</v>
      </c>
      <c r="C11" s="141" t="s">
        <v>340</v>
      </c>
      <c r="D11" s="172" t="s">
        <v>329</v>
      </c>
    </row>
  </sheetData>
  <hyperlinks>
    <hyperlink ref="D7" r:id="rId1" xr:uid="{54DF8C38-B7D2-4A83-AA62-B27ACE572F39}"/>
    <hyperlink ref="D8" r:id="rId2" xr:uid="{B58141DD-68ED-4C3A-BDFD-4A2DA249E586}"/>
    <hyperlink ref="D9" r:id="rId3" xr:uid="{9EFDF2CF-5366-498A-A3F1-D207D9C2F3E0}"/>
    <hyperlink ref="D10" r:id="rId4" xr:uid="{C9B4490B-EF82-4EE2-9C10-FD8569FE1626}"/>
    <hyperlink ref="D11" r:id="rId5" xr:uid="{448B5AB3-E714-4DB1-B649-30231B48774F}"/>
  </hyperlinks>
  <pageMargins left="0.7" right="0.7" top="0.75" bottom="0.75" header="0.3" footer="0.3"/>
  <pageSetup orientation="portrait"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Cover</vt:lpstr>
      <vt:lpstr>Income Statement</vt:lpstr>
      <vt:lpstr>Balance Sheet</vt:lpstr>
      <vt:lpstr>Cash Flow Statement</vt:lpstr>
      <vt:lpstr>Supporting Calculations</vt:lpstr>
      <vt:lpstr>Ratio Analysis</vt:lpstr>
      <vt:lpstr>Financial Charts</vt:lpstr>
      <vt:lpstr>Dashboard</vt:lpstr>
      <vt:lpstr>Valuation</vt:lpstr>
      <vt:lpstr>Key Insights</vt:lpstr>
      <vt:lpstr>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Rushitha Galidevara</dc:creator>
  <cp:lastModifiedBy>Rushitha Galidevara</cp:lastModifiedBy>
  <cp:lastPrinted>2026-08-15T21:19:16Z</cp:lastPrinted>
  <dcterms:created xsi:type="dcterms:W3CDTF">2026-07-08T23:21:41Z</dcterms:created>
  <dcterms:modified xsi:type="dcterms:W3CDTF">2026-08-17T19:33:32Z</dcterms:modified>
</cp:coreProperties>
</file>